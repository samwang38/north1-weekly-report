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8800" windowHeight="16760" tabRatio="600" firstSheet="5" activeTab="9" autoFilterDateGrouping="1"/>
  </bookViews>
  <sheets>
    <sheet xmlns:r="http://schemas.openxmlformats.org/officeDocument/2006/relationships" name="配件-北一區" sheetId="1" state="visible" r:id="rId1"/>
    <sheet xmlns:r="http://schemas.openxmlformats.org/officeDocument/2006/relationships" name="配件 - 士林門市" sheetId="2" state="visible" r:id="rId2"/>
    <sheet xmlns:r="http://schemas.openxmlformats.org/officeDocument/2006/relationships" name="配件 - 微風門市" sheetId="3" state="visible" r:id="rId3"/>
    <sheet xmlns:r="http://schemas.openxmlformats.org/officeDocument/2006/relationships" name="配件 - 美麗華門市" sheetId="4" state="visible" r:id="rId4"/>
    <sheet xmlns:r="http://schemas.openxmlformats.org/officeDocument/2006/relationships" name="配件 - 阿波羅門市" sheetId="5" state="visible" r:id="rId5"/>
    <sheet xmlns:r="http://schemas.openxmlformats.org/officeDocument/2006/relationships" name="配件 - 大葉高島屋門市" sheetId="6" state="visible" r:id="rId6"/>
    <sheet xmlns:r="http://schemas.openxmlformats.org/officeDocument/2006/relationships" name="配件 - 羅東門市" sheetId="7" state="visible" r:id="rId7"/>
    <sheet xmlns:r="http://schemas.openxmlformats.org/officeDocument/2006/relationships" name="BY店 本週比較" sheetId="8" state="visible" r:id="rId8"/>
    <sheet xmlns:r="http://schemas.openxmlformats.org/officeDocument/2006/relationships" name="BY店 人員銷售" sheetId="9" state="visible" r:id="rId9"/>
    <sheet xmlns:r="http://schemas.openxmlformats.org/officeDocument/2006/relationships" name="BY店 本週其他細項" sheetId="10" state="visible" r:id="rId10"/>
    <sheet xmlns:r="http://schemas.openxmlformats.org/officeDocument/2006/relationships" name="重點項目進度" sheetId="11" state="visible" r:id="rId11"/>
    <sheet xmlns:r="http://schemas.openxmlformats.org/officeDocument/2006/relationships" name="BY店 月累積" sheetId="12" state="visible" r:id="rId12"/>
    <sheet xmlns:r="http://schemas.openxmlformats.org/officeDocument/2006/relationships" name="BY店 去年同期" sheetId="13" state="visible" r:id="rId13"/>
    <sheet xmlns:r="http://schemas.openxmlformats.org/officeDocument/2006/relationships" name="BY店 整年同期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Red]\(#,##0\);&quot;-&quot;"/>
    <numFmt numFmtId="165" formatCode="0.0%"/>
  </numFmts>
  <fonts count="22">
    <font>
      <name val="新細明體"/>
      <family val="2"/>
      <color theme="1"/>
      <sz val="11"/>
      <scheme val="minor"/>
    </font>
    <font>
      <name val="Microsoft JhengHei"/>
      <charset val="136"/>
      <family val="2"/>
      <sz val="10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b val="1"/>
      <color rgb="FF1F3864"/>
      <sz val="10"/>
    </font>
    <font>
      <name val="Microsoft JhengHei"/>
      <charset val="136"/>
      <family val="2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2D62"/>
      <sz val="9"/>
    </font>
    <font>
      <name val="Arial"/>
      <family val="2"/>
      <b val="1"/>
      <color rgb="FF1F3864"/>
      <sz val="10"/>
    </font>
    <font>
      <name val="Arial"/>
      <family val="2"/>
      <color rgb="FF1F3864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9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Microsoft JhengHei"/>
      <charset val="136"/>
      <family val="2"/>
      <b val="1"/>
      <color rgb="FF1F3864"/>
      <sz val="9"/>
    </font>
    <font>
      <name val="Arial"/>
      <charset val="136"/>
      <family val="2"/>
      <b val="1"/>
      <color rgb="FF1F3864"/>
      <sz val="9"/>
    </font>
    <font>
      <name val="Microsoft JhengHei"/>
      <family val="2"/>
      <b val="1"/>
      <color rgb="FF1F3864"/>
      <sz val="9"/>
    </font>
    <font>
      <name val="Microsoft JhengHei"/>
      <sz val="10"/>
    </font>
    <font>
      <name val="Microsoft JhengHei"/>
      <b val="1"/>
      <color rgb="FFFFFFFF"/>
      <sz val="11"/>
    </font>
    <font>
      <name val="Microsoft JhengHei"/>
      <b val="1"/>
      <color rgb="FF1F3864"/>
      <sz val="10"/>
    </font>
    <font>
      <name val="Arial"/>
      <b val="1"/>
      <color rgb="FF1F3864"/>
      <sz val="10"/>
    </font>
  </fonts>
  <fills count="29">
    <fill>
      <patternFill/>
    </fill>
    <fill>
      <patternFill patternType="gray125"/>
    </fill>
    <fill>
      <patternFill patternType="solid">
        <fgColor rgb="FFEBF1F5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F4B183"/>
      </patternFill>
    </fill>
    <fill>
      <patternFill patternType="solid">
        <fgColor rgb="FFE7E6E6"/>
      </patternFill>
    </fill>
    <fill>
      <patternFill patternType="solid">
        <fgColor rgb="FFD9C5E7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9DC3E6"/>
      </patternFill>
    </fill>
    <fill>
      <patternFill patternType="solid">
        <fgColor rgb="FFF7FAFC"/>
      </patternFill>
    </fill>
    <fill>
      <patternFill patternType="solid">
        <fgColor rgb="FF1F4E78"/>
      </patternFill>
    </fill>
    <fill>
      <patternFill patternType="solid">
        <fgColor rgb="FF002D62"/>
      </patternFill>
    </fill>
    <fill>
      <patternFill patternType="solid">
        <fgColor rgb="FF1A4D8F"/>
      </patternFill>
    </fill>
    <fill>
      <patternFill patternType="solid">
        <fgColor rgb="FFEBF1F5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F4B183"/>
      </patternFill>
    </fill>
    <fill>
      <patternFill patternType="solid">
        <fgColor rgb="FFE7E6E6"/>
      </patternFill>
    </fill>
    <fill>
      <patternFill patternType="solid">
        <fgColor rgb="FFD9C5E7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2E75B6"/>
      </patternFill>
    </fill>
  </fills>
  <borders count="22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6" fillId="16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left" vertical="center"/>
    </xf>
    <xf numFmtId="164" fontId="10" fillId="19" borderId="2" applyAlignment="1" pivotButton="0" quotePrefix="0" xfId="0">
      <alignment horizontal="right" vertical="center"/>
    </xf>
    <xf numFmtId="10" fontId="10" fillId="19" borderId="2" applyAlignment="1" pivotButton="0" quotePrefix="0" xfId="0">
      <alignment horizontal="right" vertical="center"/>
    </xf>
    <xf numFmtId="0" fontId="9" fillId="20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left" vertical="center"/>
    </xf>
    <xf numFmtId="164" fontId="10" fillId="20" borderId="2" applyAlignment="1" pivotButton="0" quotePrefix="0" xfId="0">
      <alignment horizontal="right" vertical="center"/>
    </xf>
    <xf numFmtId="10" fontId="10" fillId="20" borderId="2" applyAlignment="1" pivotButton="0" quotePrefix="0" xfId="0">
      <alignment horizontal="right" vertical="center"/>
    </xf>
    <xf numFmtId="0" fontId="9" fillId="21" borderId="2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left" vertical="center"/>
    </xf>
    <xf numFmtId="164" fontId="10" fillId="21" borderId="2" applyAlignment="1" pivotButton="0" quotePrefix="0" xfId="0">
      <alignment horizontal="right" vertical="center"/>
    </xf>
    <xf numFmtId="10" fontId="10" fillId="21" borderId="2" applyAlignment="1" pivotButton="0" quotePrefix="0" xfId="0">
      <alignment horizontal="right" vertical="center"/>
    </xf>
    <xf numFmtId="0" fontId="9" fillId="22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left" vertical="center"/>
    </xf>
    <xf numFmtId="164" fontId="10" fillId="22" borderId="2" applyAlignment="1" pivotButton="0" quotePrefix="0" xfId="0">
      <alignment horizontal="right" vertical="center"/>
    </xf>
    <xf numFmtId="10" fontId="10" fillId="22" borderId="2" applyAlignment="1" pivotButton="0" quotePrefix="0" xfId="0">
      <alignment horizontal="right" vertical="center"/>
    </xf>
    <xf numFmtId="0" fontId="9" fillId="23" borderId="2" applyAlignment="1" pivotButton="0" quotePrefix="0" xfId="0">
      <alignment horizontal="center" vertical="center" wrapText="1"/>
    </xf>
    <xf numFmtId="0" fontId="9" fillId="23" borderId="2" applyAlignment="1" pivotButton="0" quotePrefix="0" xfId="0">
      <alignment horizontal="left" vertical="center"/>
    </xf>
    <xf numFmtId="164" fontId="10" fillId="23" borderId="2" applyAlignment="1" pivotButton="0" quotePrefix="0" xfId="0">
      <alignment horizontal="right" vertical="center"/>
    </xf>
    <xf numFmtId="10" fontId="10" fillId="23" borderId="2" applyAlignment="1" pivotButton="0" quotePrefix="0" xfId="0">
      <alignment horizontal="right" vertical="center"/>
    </xf>
    <xf numFmtId="0" fontId="9" fillId="24" borderId="2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left" vertical="center"/>
    </xf>
    <xf numFmtId="164" fontId="10" fillId="24" borderId="2" applyAlignment="1" pivotButton="0" quotePrefix="0" xfId="0">
      <alignment horizontal="right" vertical="center"/>
    </xf>
    <xf numFmtId="10" fontId="10" fillId="24" borderId="2" applyAlignment="1" pivotButton="0" quotePrefix="0" xfId="0">
      <alignment horizontal="right" vertical="center"/>
    </xf>
    <xf numFmtId="0" fontId="9" fillId="25" borderId="2" applyAlignment="1" pivotButton="0" quotePrefix="0" xfId="0">
      <alignment horizontal="center" vertical="center" wrapText="1"/>
    </xf>
    <xf numFmtId="0" fontId="9" fillId="25" borderId="2" applyAlignment="1" pivotButton="0" quotePrefix="0" xfId="0">
      <alignment horizontal="left" vertical="center"/>
    </xf>
    <xf numFmtId="164" fontId="10" fillId="25" borderId="2" applyAlignment="1" pivotButton="0" quotePrefix="0" xfId="0">
      <alignment horizontal="right" vertical="center"/>
    </xf>
    <xf numFmtId="10" fontId="10" fillId="25" borderId="2" applyAlignment="1" pivotButton="0" quotePrefix="0" xfId="0">
      <alignment horizontal="right" vertical="center"/>
    </xf>
    <xf numFmtId="0" fontId="6" fillId="16" borderId="2" applyAlignment="1" pivotButton="0" quotePrefix="0" xfId="0">
      <alignment horizontal="left" vertical="center"/>
    </xf>
    <xf numFmtId="164" fontId="6" fillId="16" borderId="2" applyAlignment="1" pivotButton="0" quotePrefix="0" xfId="0">
      <alignment horizontal="center" vertical="center" wrapText="1"/>
    </xf>
    <xf numFmtId="10" fontId="6" fillId="1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/>
    </xf>
    <xf numFmtId="164" fontId="1" fillId="0" borderId="2" applyAlignment="1" pivotButton="0" quotePrefix="0" xfId="0">
      <alignment horizontal="right" vertical="center"/>
    </xf>
    <xf numFmtId="10" fontId="1" fillId="2" borderId="2" applyAlignment="1" pivotButton="0" quotePrefix="0" xfId="0">
      <alignment horizontal="right" vertical="center"/>
    </xf>
    <xf numFmtId="10" fontId="1" fillId="0" borderId="2" applyAlignment="1" pivotButton="0" quotePrefix="0" xfId="0">
      <alignment horizontal="right" vertical="center"/>
    </xf>
    <xf numFmtId="164" fontId="1" fillId="14" borderId="2" applyAlignment="1" pivotButton="0" quotePrefix="0" xfId="0">
      <alignment horizontal="right" vertical="center"/>
    </xf>
    <xf numFmtId="10" fontId="1" fillId="14" borderId="2" applyAlignment="1" pivotButton="0" quotePrefix="0" xfId="0">
      <alignment horizontal="right" vertical="center"/>
    </xf>
    <xf numFmtId="0" fontId="12" fillId="27" borderId="2" applyAlignment="1" pivotButton="0" quotePrefix="0" xfId="0">
      <alignment horizontal="left" vertical="center"/>
    </xf>
    <xf numFmtId="164" fontId="12" fillId="27" borderId="2" applyAlignment="1" pivotButton="0" quotePrefix="0" xfId="0">
      <alignment horizontal="center" vertical="center" wrapText="1"/>
    </xf>
    <xf numFmtId="10" fontId="12" fillId="27" borderId="2" applyAlignment="1" pivotButton="0" quotePrefix="0" xfId="0">
      <alignment horizontal="center" vertical="center" wrapText="1"/>
    </xf>
    <xf numFmtId="0" fontId="0" fillId="14" borderId="2" pivotButton="0" quotePrefix="0" xfId="0"/>
    <xf numFmtId="0" fontId="12" fillId="27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left" vertical="center"/>
    </xf>
    <xf numFmtId="164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64" fontId="1" fillId="14" borderId="2" applyAlignment="1" pivotButton="0" quotePrefix="0" xfId="0">
      <alignment horizontal="center" vertical="center" wrapText="1"/>
    </xf>
    <xf numFmtId="165" fontId="1" fillId="14" borderId="2" applyAlignment="1" pivotButton="0" quotePrefix="0" xfId="0">
      <alignment horizontal="center" vertical="center" wrapText="1"/>
    </xf>
    <xf numFmtId="165" fontId="12" fillId="27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 wrapText="1"/>
    </xf>
    <xf numFmtId="10" fontId="1" fillId="0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0" fontId="1" fillId="14" borderId="2" applyAlignment="1" pivotButton="0" quotePrefix="0" xfId="0">
      <alignment horizontal="center" vertical="center" wrapText="1"/>
    </xf>
    <xf numFmtId="0" fontId="9" fillId="27" borderId="2" applyAlignment="1" pivotButton="0" quotePrefix="0" xfId="0">
      <alignment horizontal="center" vertical="center" wrapText="1"/>
    </xf>
    <xf numFmtId="164" fontId="9" fillId="27" borderId="2" applyAlignment="1" pivotButton="0" quotePrefix="0" xfId="0">
      <alignment horizontal="center" vertical="center" wrapText="1"/>
    </xf>
    <xf numFmtId="10" fontId="9" fillId="27" borderId="2" applyAlignment="1" pivotButton="0" quotePrefix="0" xfId="0">
      <alignment horizontal="center" vertical="center" wrapText="1"/>
    </xf>
    <xf numFmtId="10" fontId="1" fillId="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2" fillId="28" borderId="2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left" vertical="center"/>
    </xf>
    <xf numFmtId="10" fontId="1" fillId="18" borderId="2" applyAlignment="1" pivotButton="0" quotePrefix="0" xfId="0">
      <alignment horizontal="right" vertical="center"/>
    </xf>
    <xf numFmtId="0" fontId="16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center" vertical="center" wrapText="1"/>
    </xf>
    <xf numFmtId="0" fontId="11" fillId="26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vertical="center"/>
    </xf>
    <xf numFmtId="0" fontId="5" fillId="16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16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11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2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/>
    </xf>
    <xf numFmtId="0" fontId="11" fillId="26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3" fillId="11" borderId="5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1" borderId="7" applyAlignment="1" pivotButton="0" quotePrefix="0" xfId="0">
      <alignment horizontal="center" vertical="center" wrapText="1"/>
    </xf>
    <xf numFmtId="0" fontId="11" fillId="26" borderId="3" applyAlignment="1" pivotButton="0" quotePrefix="0" xfId="0">
      <alignment horizontal="center" vertical="center" wrapText="1"/>
    </xf>
    <xf numFmtId="0" fontId="11" fillId="26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164" fontId="10" fillId="19" borderId="2" applyAlignment="1" pivotButton="0" quotePrefix="0" xfId="0">
      <alignment horizontal="right" vertical="center"/>
    </xf>
    <xf numFmtId="164" fontId="10" fillId="20" borderId="2" applyAlignment="1" pivotButton="0" quotePrefix="0" xfId="0">
      <alignment horizontal="right" vertical="center"/>
    </xf>
    <xf numFmtId="164" fontId="10" fillId="21" borderId="2" applyAlignment="1" pivotButton="0" quotePrefix="0" xfId="0">
      <alignment horizontal="right" vertical="center"/>
    </xf>
    <xf numFmtId="164" fontId="10" fillId="22" borderId="2" applyAlignment="1" pivotButton="0" quotePrefix="0" xfId="0">
      <alignment horizontal="right" vertical="center"/>
    </xf>
    <xf numFmtId="164" fontId="10" fillId="23" borderId="2" applyAlignment="1" pivotButton="0" quotePrefix="0" xfId="0">
      <alignment horizontal="right" vertical="center"/>
    </xf>
    <xf numFmtId="164" fontId="10" fillId="24" borderId="2" applyAlignment="1" pivotButton="0" quotePrefix="0" xfId="0">
      <alignment horizontal="right" vertical="center"/>
    </xf>
    <xf numFmtId="164" fontId="10" fillId="25" borderId="2" applyAlignment="1" pivotButton="0" quotePrefix="0" xfId="0">
      <alignment horizontal="right" vertical="center"/>
    </xf>
    <xf numFmtId="164" fontId="6" fillId="16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right" vertical="center"/>
    </xf>
    <xf numFmtId="164" fontId="1" fillId="14" borderId="2" applyAlignment="1" pivotButton="0" quotePrefix="0" xfId="0">
      <alignment horizontal="right" vertical="center"/>
    </xf>
    <xf numFmtId="164" fontId="12" fillId="27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64" fontId="1" fillId="14" borderId="2" applyAlignment="1" pivotButton="0" quotePrefix="0" xfId="0">
      <alignment horizontal="center" vertical="center" wrapText="1"/>
    </xf>
    <xf numFmtId="165" fontId="1" fillId="14" borderId="2" applyAlignment="1" pivotButton="0" quotePrefix="0" xfId="0">
      <alignment horizontal="center" vertical="center" wrapText="1"/>
    </xf>
    <xf numFmtId="165" fontId="12" fillId="27" borderId="2" applyAlignment="1" pivotButton="0" quotePrefix="0" xfId="0">
      <alignment horizontal="center" vertical="center" wrapText="1"/>
    </xf>
    <xf numFmtId="0" fontId="12" fillId="27" borderId="2" pivotButton="0" quotePrefix="0" xfId="0"/>
    <xf numFmtId="164" fontId="9" fillId="27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9" fillId="28" borderId="14" applyAlignment="1" pivotButton="0" quotePrefix="0" xfId="0">
      <alignment horizontal="left" vertical="center"/>
    </xf>
    <xf numFmtId="0" fontId="19" fillId="28" borderId="14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0" fillId="11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20" fillId="22" borderId="14" applyAlignment="1" pivotButton="0" quotePrefix="0" xfId="0">
      <alignment horizontal="left" vertical="center"/>
    </xf>
    <xf numFmtId="164" fontId="18" fillId="0" borderId="14" applyAlignment="1" pivotButton="0" quotePrefix="0" xfId="0">
      <alignment horizontal="center" vertical="center" wrapText="1"/>
    </xf>
    <xf numFmtId="10" fontId="18" fillId="0" borderId="14" applyAlignment="1" pivotButton="0" quotePrefix="0" xfId="0">
      <alignment horizontal="center" vertical="center" wrapText="1"/>
    </xf>
    <xf numFmtId="0" fontId="21" fillId="27" borderId="14" applyAlignment="1" pivotButton="0" quotePrefix="0" xfId="0">
      <alignment horizontal="center" vertical="center" wrapText="1"/>
    </xf>
    <xf numFmtId="164" fontId="21" fillId="27" borderId="14" applyAlignment="1" pivotButton="0" quotePrefix="0" xfId="0">
      <alignment horizontal="center" vertical="center" wrapText="1"/>
    </xf>
    <xf numFmtId="10" fontId="21" fillId="27" borderId="14" applyAlignment="1" pivotButton="0" quotePrefix="0" xfId="0">
      <alignment horizontal="center" vertical="center" wrapText="1"/>
    </xf>
    <xf numFmtId="0" fontId="18" fillId="0" borderId="13" pivotButton="0" quotePrefix="0" xfId="0"/>
    <xf numFmtId="0" fontId="19" fillId="28" borderId="14" applyAlignment="1" pivotButton="0" quotePrefix="0" xfId="0">
      <alignment horizontal="center" vertical="center"/>
    </xf>
    <xf numFmtId="0" fontId="20" fillId="22" borderId="14" applyAlignment="1" pivotButton="0" quotePrefix="0" xfId="0">
      <alignment horizontal="center" vertical="center" wrapText="1"/>
    </xf>
    <xf numFmtId="165" fontId="18" fillId="0" borderId="14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left" vertical="center"/>
    </xf>
  </cellXfs>
  <cellStyles count="1">
    <cellStyle name="一般" xfId="0" builtinId="0"/>
  </cellStyles>
  <dxfs count="572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name val="Microsoft JhengHei"/>
        <color rgb="FFFF000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375623"/>
      </font>
      <fill>
        <patternFill patternType="solid">
          <fgColor rgb="FFC6EFCE"/>
        </patternFill>
      </fill>
    </dxf>
    <dxf>
      <font>
        <name val="Microsoft JhengHei"/>
        <b val="1"/>
        <color rgb="FFE74C3C"/>
        <sz val="10"/>
      </font>
    </dxf>
    <dxf>
      <font>
        <name val="Microsoft JhengHei"/>
        <b val="1"/>
        <color rgb="FF27AE6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zoomScale="118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20" sqref="A20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北一區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士林門市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微風門市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美麗華門市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阿波羅門市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Q18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大葉高島屋門市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A4D8F"/>
    <outlinePr summaryBelow="1" summaryRight="1"/>
    <pageSetUpPr/>
  </sheetPr>
  <dimension ref="A1:Q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Q25" sqref="Q25"/>
    </sheetView>
  </sheetViews>
  <sheetFormatPr baseColWidth="10" defaultColWidth="9" defaultRowHeight="14"/>
  <cols>
    <col width="8" customWidth="1" style="83" min="1" max="1"/>
    <col width="24" customWidth="1" style="83" min="2" max="2"/>
    <col width="13" customWidth="1" style="83" min="3" max="4"/>
    <col width="12" customWidth="1" style="83" min="5" max="5"/>
    <col width="10.796875" customWidth="1" style="83" min="6" max="6"/>
    <col width="13" customWidth="1" style="83" min="7" max="8"/>
    <col width="12" customWidth="1" style="83" min="9" max="9"/>
    <col width="11.59765625" customWidth="1" style="83" min="10" max="10"/>
    <col width="17" customWidth="1" style="83" min="11" max="11"/>
    <col width="12" customWidth="1" style="83" min="12" max="12"/>
    <col width="11.59765625" customWidth="1" style="83" min="13" max="13"/>
    <col width="17.19921875" customWidth="1" style="83" min="14" max="14"/>
    <col width="17" customWidth="1" style="83" min="15" max="15"/>
    <col width="12" customWidth="1" style="83" min="16" max="17"/>
  </cols>
  <sheetData>
    <row r="1" ht="30" customHeight="1" s="83">
      <c r="A1" s="82" t="inlineStr">
        <is>
          <t>配件銷售分析  ·  羅東門市  ·  2026/04/12 ~ 04/18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</row>
    <row r="2" ht="24" customHeight="1" s="83">
      <c r="A2" s="84" t="inlineStr">
        <is>
          <t>類別4</t>
        </is>
      </c>
      <c r="B2" s="114" t="n"/>
      <c r="C2" s="84" t="inlineStr">
        <is>
          <t>週對比</t>
        </is>
      </c>
      <c r="D2" s="113" t="n"/>
      <c r="E2" s="113" t="n"/>
      <c r="F2" s="114" t="n"/>
      <c r="G2" s="84" t="inlineStr">
        <is>
          <t>月對比</t>
        </is>
      </c>
      <c r="H2" s="113" t="n"/>
      <c r="I2" s="113" t="n"/>
      <c r="J2" s="114" t="n"/>
      <c r="K2" s="84" t="inlineStr">
        <is>
          <t>去年同期</t>
        </is>
      </c>
      <c r="L2" s="113" t="n"/>
      <c r="M2" s="114" t="n"/>
      <c r="N2" s="84" t="inlineStr">
        <is>
          <t>YTD 年對年</t>
        </is>
      </c>
      <c r="O2" s="113" t="n"/>
      <c r="P2" s="113" t="n"/>
      <c r="Q2" s="114" t="n"/>
    </row>
    <row r="3" ht="34" customHeight="1" s="83">
      <c r="A3" s="2" t="inlineStr">
        <is>
          <t>代碼</t>
        </is>
      </c>
      <c r="B3" s="2" t="inlineStr">
        <is>
          <t>名稱</t>
        </is>
      </c>
      <c r="C3" s="2" t="inlineStr">
        <is>
          <t>04/05~04/11</t>
        </is>
      </c>
      <c r="D3" s="2" t="inlineStr">
        <is>
          <t>04/12~04/18</t>
        </is>
      </c>
      <c r="E3" s="2" t="inlineStr">
        <is>
          <t>差異</t>
        </is>
      </c>
      <c r="F3" s="3" t="inlineStr">
        <is>
          <t>％</t>
        </is>
      </c>
      <c r="G3" s="2" t="inlineStr">
        <is>
          <t>04/01~04/18</t>
        </is>
      </c>
      <c r="H3" s="2" t="inlineStr">
        <is>
          <t>03/01~03/31</t>
        </is>
      </c>
      <c r="I3" s="2" t="inlineStr">
        <is>
          <t>差異</t>
        </is>
      </c>
      <c r="J3" s="3" t="inlineStr">
        <is>
          <t>％</t>
        </is>
      </c>
      <c r="K3" s="2" t="inlineStr">
        <is>
          <t>2025/04/12~04/18</t>
        </is>
      </c>
      <c r="L3" s="2" t="inlineStr">
        <is>
          <t>差異</t>
        </is>
      </c>
      <c r="M3" s="3" t="inlineStr">
        <is>
          <t>％</t>
        </is>
      </c>
      <c r="N3" s="2" t="inlineStr">
        <is>
          <t>2025/01/01~04/18</t>
        </is>
      </c>
      <c r="O3" s="2" t="inlineStr">
        <is>
          <t>2026/01/01~04/18</t>
        </is>
      </c>
      <c r="P3" s="2" t="inlineStr">
        <is>
          <t>差異</t>
        </is>
      </c>
      <c r="Q3" s="3" t="inlineStr">
        <is>
          <t>％</t>
        </is>
      </c>
    </row>
    <row r="4" ht="20" customHeight="1" s="83">
      <c r="A4" s="4" t="n">
        <v>4007</v>
      </c>
      <c r="B4" s="5" t="inlineStr">
        <is>
          <t>CPU週邊配件</t>
        </is>
      </c>
      <c r="C4" s="115" t="n">
        <v>0</v>
      </c>
      <c r="D4" s="115" t="n">
        <v>0</v>
      </c>
      <c r="E4" s="115" t="n">
        <v>0</v>
      </c>
      <c r="F4" s="7" t="n">
        <v>0</v>
      </c>
      <c r="G4" s="115" t="n">
        <v>0</v>
      </c>
      <c r="H4" s="115" t="n">
        <v>0</v>
      </c>
      <c r="I4" s="115" t="n">
        <v>0</v>
      </c>
      <c r="J4" s="7" t="n">
        <v>0</v>
      </c>
      <c r="K4" s="115" t="n">
        <v>0</v>
      </c>
      <c r="L4" s="115" t="n">
        <v>0</v>
      </c>
      <c r="M4" s="7" t="n">
        <v>0</v>
      </c>
      <c r="N4" s="115" t="n">
        <v>0</v>
      </c>
      <c r="O4" s="115" t="n">
        <v>0</v>
      </c>
      <c r="P4" s="115" t="n">
        <v>0</v>
      </c>
      <c r="Q4" s="7" t="n">
        <v>0</v>
      </c>
    </row>
    <row r="5" ht="20" customHeight="1" s="83">
      <c r="A5" s="8" t="n">
        <v>4009</v>
      </c>
      <c r="B5" s="9" t="inlineStr">
        <is>
          <t>iPhone週邊配件</t>
        </is>
      </c>
      <c r="C5" s="116" t="n">
        <v>0</v>
      </c>
      <c r="D5" s="116" t="n">
        <v>0</v>
      </c>
      <c r="E5" s="116" t="n">
        <v>0</v>
      </c>
      <c r="F5" s="11" t="n">
        <v>0</v>
      </c>
      <c r="G5" s="116" t="n">
        <v>0</v>
      </c>
      <c r="H5" s="116" t="n">
        <v>0</v>
      </c>
      <c r="I5" s="116" t="n">
        <v>0</v>
      </c>
      <c r="J5" s="11" t="n">
        <v>0</v>
      </c>
      <c r="K5" s="116" t="n">
        <v>0</v>
      </c>
      <c r="L5" s="116" t="n">
        <v>0</v>
      </c>
      <c r="M5" s="11" t="n">
        <v>0</v>
      </c>
      <c r="N5" s="116" t="n">
        <v>0</v>
      </c>
      <c r="O5" s="116" t="n">
        <v>0</v>
      </c>
      <c r="P5" s="116" t="n">
        <v>0</v>
      </c>
      <c r="Q5" s="11" t="n">
        <v>0</v>
      </c>
    </row>
    <row r="6" ht="20" customHeight="1" s="83">
      <c r="A6" s="12" t="n">
        <v>4010</v>
      </c>
      <c r="B6" s="13" t="inlineStr">
        <is>
          <t>iPad週邊配件</t>
        </is>
      </c>
      <c r="C6" s="117" t="n">
        <v>0</v>
      </c>
      <c r="D6" s="117" t="n">
        <v>0</v>
      </c>
      <c r="E6" s="117" t="n">
        <v>0</v>
      </c>
      <c r="F6" s="15" t="n">
        <v>0</v>
      </c>
      <c r="G6" s="117" t="n">
        <v>0</v>
      </c>
      <c r="H6" s="117" t="n">
        <v>0</v>
      </c>
      <c r="I6" s="117" t="n">
        <v>0</v>
      </c>
      <c r="J6" s="15" t="n">
        <v>0</v>
      </c>
      <c r="K6" s="117" t="n">
        <v>0</v>
      </c>
      <c r="L6" s="117" t="n">
        <v>0</v>
      </c>
      <c r="M6" s="15" t="n">
        <v>0</v>
      </c>
      <c r="N6" s="117" t="n">
        <v>0</v>
      </c>
      <c r="O6" s="117" t="n">
        <v>0</v>
      </c>
      <c r="P6" s="117" t="n">
        <v>0</v>
      </c>
      <c r="Q6" s="15" t="n">
        <v>0</v>
      </c>
    </row>
    <row r="7" ht="20" customHeight="1" s="83">
      <c r="A7" s="16" t="n">
        <v>4012</v>
      </c>
      <c r="B7" s="17" t="inlineStr">
        <is>
          <t>CPU/iOS通用週邊配件</t>
        </is>
      </c>
      <c r="C7" s="118" t="n">
        <v>0</v>
      </c>
      <c r="D7" s="118" t="n">
        <v>0</v>
      </c>
      <c r="E7" s="118" t="n">
        <v>0</v>
      </c>
      <c r="F7" s="19" t="n">
        <v>0</v>
      </c>
      <c r="G7" s="118" t="n">
        <v>0</v>
      </c>
      <c r="H7" s="118" t="n">
        <v>0</v>
      </c>
      <c r="I7" s="118" t="n">
        <v>0</v>
      </c>
      <c r="J7" s="19" t="n">
        <v>0</v>
      </c>
      <c r="K7" s="118" t="n">
        <v>0</v>
      </c>
      <c r="L7" s="118" t="n">
        <v>0</v>
      </c>
      <c r="M7" s="19" t="n">
        <v>0</v>
      </c>
      <c r="N7" s="118" t="n">
        <v>0</v>
      </c>
      <c r="O7" s="118" t="n">
        <v>0</v>
      </c>
      <c r="P7" s="118" t="n">
        <v>0</v>
      </c>
      <c r="Q7" s="19" t="n">
        <v>0</v>
      </c>
    </row>
    <row r="8" ht="20" customHeight="1" s="83">
      <c r="A8" s="20" t="n">
        <v>4013</v>
      </c>
      <c r="B8" s="21" t="inlineStr">
        <is>
          <t>Speakers</t>
        </is>
      </c>
      <c r="C8" s="119" t="n">
        <v>0</v>
      </c>
      <c r="D8" s="119" t="n">
        <v>0</v>
      </c>
      <c r="E8" s="119" t="n">
        <v>0</v>
      </c>
      <c r="F8" s="23" t="n">
        <v>0</v>
      </c>
      <c r="G8" s="119" t="n">
        <v>0</v>
      </c>
      <c r="H8" s="119" t="n">
        <v>0</v>
      </c>
      <c r="I8" s="119" t="n">
        <v>0</v>
      </c>
      <c r="J8" s="23" t="n">
        <v>0</v>
      </c>
      <c r="K8" s="119" t="n">
        <v>0</v>
      </c>
      <c r="L8" s="119" t="n">
        <v>0</v>
      </c>
      <c r="M8" s="23" t="n">
        <v>0</v>
      </c>
      <c r="N8" s="119" t="n">
        <v>0</v>
      </c>
      <c r="O8" s="119" t="n">
        <v>0</v>
      </c>
      <c r="P8" s="119" t="n">
        <v>0</v>
      </c>
      <c r="Q8" s="23" t="n">
        <v>0</v>
      </c>
    </row>
    <row r="9" ht="20" customHeight="1" s="83">
      <c r="A9" s="20" t="n">
        <v>4014</v>
      </c>
      <c r="B9" s="21" t="inlineStr">
        <is>
          <t>耳機</t>
        </is>
      </c>
      <c r="C9" s="119" t="n">
        <v>0</v>
      </c>
      <c r="D9" s="119" t="n">
        <v>0</v>
      </c>
      <c r="E9" s="119" t="n">
        <v>0</v>
      </c>
      <c r="F9" s="23" t="n">
        <v>0</v>
      </c>
      <c r="G9" s="119" t="n">
        <v>0</v>
      </c>
      <c r="H9" s="119" t="n">
        <v>0</v>
      </c>
      <c r="I9" s="119" t="n">
        <v>0</v>
      </c>
      <c r="J9" s="23" t="n">
        <v>0</v>
      </c>
      <c r="K9" s="119" t="n">
        <v>0</v>
      </c>
      <c r="L9" s="119" t="n">
        <v>0</v>
      </c>
      <c r="M9" s="23" t="n">
        <v>0</v>
      </c>
      <c r="N9" s="119" t="n">
        <v>0</v>
      </c>
      <c r="O9" s="119" t="n">
        <v>0</v>
      </c>
      <c r="P9" s="119" t="n">
        <v>0</v>
      </c>
      <c r="Q9" s="23" t="n">
        <v>0</v>
      </c>
    </row>
    <row r="10" ht="20" customHeight="1" s="83">
      <c r="A10" s="16" t="n">
        <v>4017</v>
      </c>
      <c r="B10" s="17" t="inlineStr">
        <is>
          <t>其他週邊配件</t>
        </is>
      </c>
      <c r="C10" s="118" t="n">
        <v>0</v>
      </c>
      <c r="D10" s="118" t="n">
        <v>0</v>
      </c>
      <c r="E10" s="118" t="n">
        <v>0</v>
      </c>
      <c r="F10" s="19" t="n">
        <v>0</v>
      </c>
      <c r="G10" s="118" t="n">
        <v>0</v>
      </c>
      <c r="H10" s="118" t="n">
        <v>0</v>
      </c>
      <c r="I10" s="118" t="n">
        <v>0</v>
      </c>
      <c r="J10" s="19" t="n">
        <v>0</v>
      </c>
      <c r="K10" s="118" t="n">
        <v>0</v>
      </c>
      <c r="L10" s="118" t="n">
        <v>0</v>
      </c>
      <c r="M10" s="19" t="n">
        <v>0</v>
      </c>
      <c r="N10" s="118" t="n">
        <v>0</v>
      </c>
      <c r="O10" s="118" t="n">
        <v>0</v>
      </c>
      <c r="P10" s="118" t="n">
        <v>0</v>
      </c>
      <c r="Q10" s="19" t="n">
        <v>0</v>
      </c>
    </row>
    <row r="11" ht="20" customHeight="1" s="83">
      <c r="A11" s="16" t="n">
        <v>4021</v>
      </c>
      <c r="B11" s="17" t="inlineStr">
        <is>
          <t>其他收入</t>
        </is>
      </c>
      <c r="C11" s="118" t="n">
        <v>0</v>
      </c>
      <c r="D11" s="118" t="n">
        <v>0</v>
      </c>
      <c r="E11" s="118" t="n">
        <v>0</v>
      </c>
      <c r="F11" s="19" t="n">
        <v>0</v>
      </c>
      <c r="G11" s="118" t="n">
        <v>0</v>
      </c>
      <c r="H11" s="118" t="n">
        <v>0</v>
      </c>
      <c r="I11" s="118" t="n">
        <v>0</v>
      </c>
      <c r="J11" s="19" t="n">
        <v>0</v>
      </c>
      <c r="K11" s="118" t="n">
        <v>0</v>
      </c>
      <c r="L11" s="118" t="n">
        <v>0</v>
      </c>
      <c r="M11" s="19" t="n">
        <v>0</v>
      </c>
      <c r="N11" s="118" t="n">
        <v>0</v>
      </c>
      <c r="O11" s="118" t="n">
        <v>0</v>
      </c>
      <c r="P11" s="118" t="n">
        <v>0</v>
      </c>
      <c r="Q11" s="19" t="n">
        <v>0</v>
      </c>
    </row>
    <row r="12" ht="20" customHeight="1" s="83">
      <c r="A12" s="16" t="n">
        <v>4022</v>
      </c>
      <c r="B12" s="17" t="inlineStr">
        <is>
          <t>iOS通用週邊配件</t>
        </is>
      </c>
      <c r="C12" s="118" t="n">
        <v>0</v>
      </c>
      <c r="D12" s="118" t="n">
        <v>0</v>
      </c>
      <c r="E12" s="118" t="n">
        <v>0</v>
      </c>
      <c r="F12" s="19" t="n">
        <v>0</v>
      </c>
      <c r="G12" s="118" t="n">
        <v>0</v>
      </c>
      <c r="H12" s="118" t="n">
        <v>0</v>
      </c>
      <c r="I12" s="118" t="n">
        <v>0</v>
      </c>
      <c r="J12" s="19" t="n">
        <v>0</v>
      </c>
      <c r="K12" s="118" t="n">
        <v>0</v>
      </c>
      <c r="L12" s="118" t="n">
        <v>0</v>
      </c>
      <c r="M12" s="19" t="n">
        <v>0</v>
      </c>
      <c r="N12" s="118" t="n">
        <v>0</v>
      </c>
      <c r="O12" s="118" t="n">
        <v>0</v>
      </c>
      <c r="P12" s="118" t="n">
        <v>0</v>
      </c>
      <c r="Q12" s="19" t="n">
        <v>0</v>
      </c>
    </row>
    <row r="13" ht="20" customHeight="1" s="83">
      <c r="A13" s="16" t="n">
        <v>4026</v>
      </c>
      <c r="B13" s="17" t="inlineStr">
        <is>
          <t>SmartA週邊產品</t>
        </is>
      </c>
      <c r="C13" s="118" t="n">
        <v>0</v>
      </c>
      <c r="D13" s="118" t="n">
        <v>0</v>
      </c>
      <c r="E13" s="118" t="n">
        <v>0</v>
      </c>
      <c r="F13" s="19" t="n">
        <v>0</v>
      </c>
      <c r="G13" s="118" t="n">
        <v>0</v>
      </c>
      <c r="H13" s="118" t="n">
        <v>0</v>
      </c>
      <c r="I13" s="118" t="n">
        <v>0</v>
      </c>
      <c r="J13" s="19" t="n">
        <v>0</v>
      </c>
      <c r="K13" s="118" t="n">
        <v>0</v>
      </c>
      <c r="L13" s="118" t="n">
        <v>0</v>
      </c>
      <c r="M13" s="19" t="n">
        <v>0</v>
      </c>
      <c r="N13" s="118" t="n">
        <v>0</v>
      </c>
      <c r="O13" s="118" t="n">
        <v>0</v>
      </c>
      <c r="P13" s="118" t="n">
        <v>0</v>
      </c>
      <c r="Q13" s="19" t="n">
        <v>0</v>
      </c>
    </row>
    <row r="14" ht="20" customHeight="1" s="83">
      <c r="A14" s="24" t="n">
        <v>4039</v>
      </c>
      <c r="B14" s="25" t="inlineStr">
        <is>
          <t>Apple Watch週邊配件</t>
        </is>
      </c>
      <c r="C14" s="120" t="n">
        <v>0</v>
      </c>
      <c r="D14" s="120" t="n">
        <v>0</v>
      </c>
      <c r="E14" s="120" t="n">
        <v>0</v>
      </c>
      <c r="F14" s="27" t="n">
        <v>0</v>
      </c>
      <c r="G14" s="120" t="n">
        <v>0</v>
      </c>
      <c r="H14" s="120" t="n">
        <v>0</v>
      </c>
      <c r="I14" s="120" t="n">
        <v>0</v>
      </c>
      <c r="J14" s="27" t="n">
        <v>0</v>
      </c>
      <c r="K14" s="120" t="n">
        <v>0</v>
      </c>
      <c r="L14" s="120" t="n">
        <v>0</v>
      </c>
      <c r="M14" s="27" t="n">
        <v>0</v>
      </c>
      <c r="N14" s="120" t="n">
        <v>0</v>
      </c>
      <c r="O14" s="120" t="n">
        <v>0</v>
      </c>
      <c r="P14" s="120" t="n">
        <v>0</v>
      </c>
      <c r="Q14" s="27" t="n">
        <v>0</v>
      </c>
    </row>
    <row r="15" ht="20" customHeight="1" s="83">
      <c r="A15" s="16" t="n">
        <v>4050</v>
      </c>
      <c r="B15" s="17" t="inlineStr">
        <is>
          <t>上網卡</t>
        </is>
      </c>
      <c r="C15" s="118" t="n">
        <v>0</v>
      </c>
      <c r="D15" s="118" t="n">
        <v>0</v>
      </c>
      <c r="E15" s="118" t="n">
        <v>0</v>
      </c>
      <c r="F15" s="19" t="n">
        <v>0</v>
      </c>
      <c r="G15" s="118" t="n">
        <v>0</v>
      </c>
      <c r="H15" s="118" t="n">
        <v>0</v>
      </c>
      <c r="I15" s="118" t="n">
        <v>0</v>
      </c>
      <c r="J15" s="19" t="n">
        <v>0</v>
      </c>
      <c r="K15" s="118" t="n">
        <v>0</v>
      </c>
      <c r="L15" s="118" t="n">
        <v>0</v>
      </c>
      <c r="M15" s="19" t="n">
        <v>0</v>
      </c>
      <c r="N15" s="118" t="n">
        <v>0</v>
      </c>
      <c r="O15" s="118" t="n">
        <v>0</v>
      </c>
      <c r="P15" s="118" t="n">
        <v>0</v>
      </c>
      <c r="Q15" s="19" t="n">
        <v>0</v>
      </c>
    </row>
    <row r="16" ht="20" customHeight="1" s="83">
      <c r="A16" s="16" t="n">
        <v>4053</v>
      </c>
      <c r="B16" s="17" t="inlineStr">
        <is>
          <t>家居</t>
        </is>
      </c>
      <c r="C16" s="118" t="n">
        <v>0</v>
      </c>
      <c r="D16" s="118" t="n">
        <v>0</v>
      </c>
      <c r="E16" s="118" t="n">
        <v>0</v>
      </c>
      <c r="F16" s="19" t="n">
        <v>0</v>
      </c>
      <c r="G16" s="118" t="n">
        <v>0</v>
      </c>
      <c r="H16" s="118" t="n">
        <v>0</v>
      </c>
      <c r="I16" s="118" t="n">
        <v>0</v>
      </c>
      <c r="J16" s="19" t="n">
        <v>0</v>
      </c>
      <c r="K16" s="118" t="n">
        <v>0</v>
      </c>
      <c r="L16" s="118" t="n">
        <v>0</v>
      </c>
      <c r="M16" s="19" t="n">
        <v>0</v>
      </c>
      <c r="N16" s="118" t="n">
        <v>0</v>
      </c>
      <c r="O16" s="118" t="n">
        <v>0</v>
      </c>
      <c r="P16" s="118" t="n">
        <v>0</v>
      </c>
      <c r="Q16" s="19" t="n">
        <v>0</v>
      </c>
    </row>
    <row r="17" ht="20" customHeight="1" s="83">
      <c r="A17" s="28" t="n">
        <v>4069</v>
      </c>
      <c r="B17" s="29" t="inlineStr">
        <is>
          <t>AirPods配件</t>
        </is>
      </c>
      <c r="C17" s="121" t="n">
        <v>0</v>
      </c>
      <c r="D17" s="121" t="n">
        <v>0</v>
      </c>
      <c r="E17" s="121" t="n">
        <v>0</v>
      </c>
      <c r="F17" s="31" t="n">
        <v>0</v>
      </c>
      <c r="G17" s="121" t="n">
        <v>0</v>
      </c>
      <c r="H17" s="121" t="n">
        <v>0</v>
      </c>
      <c r="I17" s="121" t="n">
        <v>0</v>
      </c>
      <c r="J17" s="31" t="n">
        <v>0</v>
      </c>
      <c r="K17" s="121" t="n">
        <v>0</v>
      </c>
      <c r="L17" s="121" t="n">
        <v>0</v>
      </c>
      <c r="M17" s="31" t="n">
        <v>0</v>
      </c>
      <c r="N17" s="121" t="n">
        <v>0</v>
      </c>
      <c r="O17" s="121" t="n">
        <v>0</v>
      </c>
      <c r="P17" s="121" t="n">
        <v>0</v>
      </c>
      <c r="Q17" s="31" t="n">
        <v>0</v>
      </c>
    </row>
    <row r="18" ht="22" customHeight="1" s="83">
      <c r="A18" s="84" t="inlineStr">
        <is>
          <t>合計</t>
        </is>
      </c>
      <c r="B18" s="32" t="inlineStr">
        <is>
          <t>全類別</t>
        </is>
      </c>
      <c r="C18" s="122" t="n">
        <v>0</v>
      </c>
      <c r="D18" s="122" t="n">
        <v>0</v>
      </c>
      <c r="E18" s="122" t="n">
        <v>0</v>
      </c>
      <c r="F18" s="34" t="n">
        <v>0</v>
      </c>
      <c r="G18" s="122" t="n">
        <v>0</v>
      </c>
      <c r="H18" s="122" t="n">
        <v>0</v>
      </c>
      <c r="I18" s="122" t="n">
        <v>0</v>
      </c>
      <c r="J18" s="34" t="n">
        <v>0</v>
      </c>
      <c r="K18" s="122" t="n">
        <v>0</v>
      </c>
      <c r="L18" s="122" t="n">
        <v>0</v>
      </c>
      <c r="M18" s="34" t="n">
        <v>0</v>
      </c>
      <c r="N18" s="122" t="n">
        <v>0</v>
      </c>
      <c r="O18" s="122" t="n">
        <v>0</v>
      </c>
      <c r="P18" s="122" t="n">
        <v>0</v>
      </c>
      <c r="Q18" s="34" t="n">
        <v>0</v>
      </c>
    </row>
  </sheetData>
  <mergeCells count="6">
    <mergeCell ref="A2:B2"/>
    <mergeCell ref="K2:M2"/>
    <mergeCell ref="G2:J2"/>
    <mergeCell ref="N2:Q2"/>
    <mergeCell ref="C2:F2"/>
    <mergeCell ref="A1:Q1"/>
  </mergeCells>
  <conditionalFormatting sqref="F4:F18">
    <cfRule type="cellIs" priority="7" operator="greaterThan" dxfId="3">
      <formula>0</formula>
    </cfRule>
    <cfRule type="cellIs" priority="8" operator="lessThan" dxfId="2">
      <formula>0</formula>
    </cfRule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J4:J18">
    <cfRule type="cellIs" priority="3" operator="greaterThan" dxfId="3">
      <formula>0</formula>
    </cfRule>
    <cfRule type="cellIs" priority="4" operator="lessThan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M4:M18">
    <cfRule type="cellIs" priority="5" operator="greaterThan" dxfId="3">
      <formula>0</formula>
    </cfRule>
    <cfRule type="cellIs" priority="6" operator="lessThan" dxfId="2">
      <formula>0</formula>
    </cfRule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Q4:Q18">
    <cfRule type="cellIs" priority="1" operator="greaterThan" dxfId="3">
      <formula>0</formula>
    </cfRule>
    <cfRule type="cellIs" priority="2" operator="lessThan" dxfId="2">
      <formula>0</formula>
    </cfRule>
    <cfRule type="cellIs" priority="15" operator="greaterThan" dxfId="1">
      <formula>0</formula>
    </cfRule>
    <cfRule type="cellIs" priority="16" operator="less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E75B6"/>
    <outlinePr summaryBelow="1" summaryRight="1"/>
    <pageSetUpPr/>
  </sheetPr>
  <dimension ref="A2:AF38"/>
  <sheetViews>
    <sheetView showGridLines="0" zoomScale="7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D13" sqref="AD13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7"/>
    <col width="13.796875" bestFit="1" customWidth="1" style="83" min="28" max="28"/>
    <col width="9.59765625" bestFit="1" customWidth="1" style="83" min="29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2" ht="36" customHeight="1" s="83">
      <c r="A2" s="105" t="n"/>
      <c r="B2" s="105" t="inlineStr">
        <is>
          <t>總業績(未加SA Care)</t>
        </is>
      </c>
      <c r="C2" s="105" t="n"/>
      <c r="D2" s="105" t="n"/>
      <c r="E2" s="105" t="inlineStr">
        <is>
          <t>3PP(未加SA Care)</t>
        </is>
      </c>
      <c r="F2" s="105" t="n"/>
      <c r="G2" s="105" t="n"/>
      <c r="H2" s="105" t="inlineStr">
        <is>
          <t>SA Care</t>
        </is>
      </c>
      <c r="I2" s="105" t="n"/>
      <c r="J2" s="105" t="n"/>
      <c r="K2" s="105" t="inlineStr">
        <is>
          <t>AC</t>
        </is>
      </c>
      <c r="L2" s="105" t="n"/>
      <c r="M2" s="105" t="n"/>
      <c r="N2" s="105" t="inlineStr">
        <is>
          <t>總業績</t>
        </is>
      </c>
      <c r="O2" s="105" t="n"/>
      <c r="P2" s="105" t="n"/>
      <c r="Q2" s="105" t="inlineStr">
        <is>
          <t>3PP</t>
        </is>
      </c>
      <c r="R2" s="105" t="n"/>
      <c r="S2" s="105" t="n"/>
      <c r="T2" s="105" t="inlineStr">
        <is>
          <t>3PP搭售率(未加Care)</t>
        </is>
      </c>
      <c r="U2" s="105" t="inlineStr">
        <is>
          <t>3PP搭售率(未加Care)</t>
        </is>
      </c>
      <c r="V2" s="105" t="inlineStr">
        <is>
          <t>SA Care搭售率</t>
        </is>
      </c>
      <c r="W2" s="105" t="inlineStr">
        <is>
          <t>SA Care搭售率</t>
        </is>
      </c>
      <c r="X2" s="105" t="inlineStr">
        <is>
          <t>AC搭售率</t>
        </is>
      </c>
      <c r="Y2" s="105" t="inlineStr">
        <is>
          <t>AC搭售率</t>
        </is>
      </c>
      <c r="Z2" s="105" t="inlineStr">
        <is>
          <t>禮券金額</t>
        </is>
      </c>
      <c r="AA2" s="105" t="n"/>
      <c r="AB2" s="105" t="n"/>
      <c r="AC2" s="105" t="inlineStr">
        <is>
          <t>總業績差異</t>
        </is>
      </c>
      <c r="AD2" s="105" t="inlineStr">
        <is>
          <t>3PP(未加SA Care)差異</t>
        </is>
      </c>
      <c r="AE2" s="105" t="inlineStr">
        <is>
          <t>SA Care</t>
        </is>
      </c>
      <c r="AF2" s="105" t="inlineStr">
        <is>
          <t>AC</t>
        </is>
      </c>
    </row>
    <row r="3" ht="42" customHeight="1" s="83">
      <c r="A3" s="86" t="n"/>
      <c r="B3" s="39" t="inlineStr">
        <is>
          <t>W15</t>
        </is>
      </c>
      <c r="C3" s="40" t="inlineStr">
        <is>
          <t>W16</t>
        </is>
      </c>
      <c r="D3" s="86" t="inlineStr">
        <is>
          <t>較上週比</t>
        </is>
      </c>
      <c r="E3" s="39" t="inlineStr">
        <is>
          <t>W15</t>
        </is>
      </c>
      <c r="F3" s="40" t="inlineStr">
        <is>
          <t>W16</t>
        </is>
      </c>
      <c r="G3" s="86" t="inlineStr">
        <is>
          <t>較上週比</t>
        </is>
      </c>
      <c r="H3" s="39" t="inlineStr">
        <is>
          <t>W15</t>
        </is>
      </c>
      <c r="I3" s="40" t="inlineStr">
        <is>
          <t>W16</t>
        </is>
      </c>
      <c r="J3" s="86" t="inlineStr">
        <is>
          <t>較上週比</t>
        </is>
      </c>
      <c r="K3" s="39" t="inlineStr">
        <is>
          <t>W15</t>
        </is>
      </c>
      <c r="L3" s="40" t="inlineStr">
        <is>
          <t>W16</t>
        </is>
      </c>
      <c r="M3" s="86" t="inlineStr">
        <is>
          <t>較上週比</t>
        </is>
      </c>
      <c r="N3" s="39" t="inlineStr">
        <is>
          <t>W15</t>
        </is>
      </c>
      <c r="O3" s="40" t="inlineStr">
        <is>
          <t>W16</t>
        </is>
      </c>
      <c r="P3" s="86" t="inlineStr">
        <is>
          <t>較上週比</t>
        </is>
      </c>
      <c r="Q3" s="39" t="inlineStr">
        <is>
          <t>W15</t>
        </is>
      </c>
      <c r="R3" s="40" t="inlineStr">
        <is>
          <t>W16</t>
        </is>
      </c>
      <c r="S3" s="86" t="inlineStr">
        <is>
          <t>較上週比</t>
        </is>
      </c>
      <c r="T3" s="39" t="inlineStr">
        <is>
          <t>W15</t>
        </is>
      </c>
      <c r="U3" s="40" t="inlineStr">
        <is>
          <t>W16</t>
        </is>
      </c>
      <c r="V3" s="39" t="inlineStr">
        <is>
          <t>W15</t>
        </is>
      </c>
      <c r="W3" s="40" t="inlineStr">
        <is>
          <t>W16</t>
        </is>
      </c>
      <c r="X3" s="39" t="inlineStr">
        <is>
          <t>W15</t>
        </is>
      </c>
      <c r="Y3" s="40" t="inlineStr">
        <is>
          <t>W16</t>
        </is>
      </c>
      <c r="Z3" s="39" t="inlineStr">
        <is>
          <t>W15</t>
        </is>
      </c>
      <c r="AA3" s="40" t="inlineStr">
        <is>
          <t>W16</t>
        </is>
      </c>
      <c r="AB3" s="86" t="inlineStr">
        <is>
          <t>較上週比</t>
        </is>
      </c>
      <c r="AC3" s="86" t="n"/>
      <c r="AD3" s="86" t="n"/>
      <c r="AE3" s="86" t="n"/>
      <c r="AF3" s="86" t="n"/>
    </row>
    <row r="4" ht="20" customHeight="1" s="83">
      <c r="A4" s="41" t="inlineStr">
        <is>
          <t>士林門市</t>
        </is>
      </c>
      <c r="B4" s="123" t="n">
        <v>0</v>
      </c>
      <c r="C4" s="123" t="n">
        <v>0</v>
      </c>
      <c r="D4" s="43" t="n">
        <v>0</v>
      </c>
      <c r="E4" s="123" t="n">
        <v>0</v>
      </c>
      <c r="F4" s="123" t="n">
        <v>0</v>
      </c>
      <c r="G4" s="43" t="n">
        <v>0</v>
      </c>
      <c r="H4" s="123" t="n">
        <v>0</v>
      </c>
      <c r="I4" s="123" t="n">
        <v>0</v>
      </c>
      <c r="J4" s="43" t="n">
        <v>0</v>
      </c>
      <c r="K4" s="123" t="n">
        <v>0</v>
      </c>
      <c r="L4" s="123" t="n">
        <v>0</v>
      </c>
      <c r="M4" s="43" t="n">
        <v>0</v>
      </c>
      <c r="N4" s="123" t="n">
        <v>0</v>
      </c>
      <c r="O4" s="123" t="n">
        <v>0</v>
      </c>
      <c r="P4" s="43" t="n">
        <v>0</v>
      </c>
      <c r="Q4" s="123" t="n">
        <v>0</v>
      </c>
      <c r="R4" s="123" t="n">
        <v>0</v>
      </c>
      <c r="S4" s="43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123" t="n">
        <v>0</v>
      </c>
      <c r="AA4" s="123" t="n">
        <v>0</v>
      </c>
      <c r="AB4" s="43" t="n">
        <v>0</v>
      </c>
      <c r="AC4" s="123" t="n">
        <v>0</v>
      </c>
      <c r="AD4" s="123" t="n">
        <v>0</v>
      </c>
      <c r="AE4" s="123" t="n"/>
      <c r="AF4" s="123" t="n"/>
    </row>
    <row r="5" ht="20" customHeight="1" s="83">
      <c r="A5" s="41" t="inlineStr">
        <is>
          <t>微風門市</t>
        </is>
      </c>
      <c r="B5" s="124" t="n">
        <v>0</v>
      </c>
      <c r="C5" s="124" t="n">
        <v>0</v>
      </c>
      <c r="D5" s="43" t="n">
        <v>0</v>
      </c>
      <c r="E5" s="124" t="n">
        <v>0</v>
      </c>
      <c r="F5" s="124" t="n">
        <v>0</v>
      </c>
      <c r="G5" s="43" t="n">
        <v>0</v>
      </c>
      <c r="H5" s="124" t="n">
        <v>0</v>
      </c>
      <c r="I5" s="124" t="n">
        <v>0</v>
      </c>
      <c r="J5" s="43" t="n">
        <v>0</v>
      </c>
      <c r="K5" s="124" t="n">
        <v>0</v>
      </c>
      <c r="L5" s="124" t="n">
        <v>0</v>
      </c>
      <c r="M5" s="43" t="n">
        <v>0</v>
      </c>
      <c r="N5" s="124" t="n">
        <v>0</v>
      </c>
      <c r="O5" s="124" t="n">
        <v>0</v>
      </c>
      <c r="P5" s="43" t="n">
        <v>0</v>
      </c>
      <c r="Q5" s="124" t="n">
        <v>0</v>
      </c>
      <c r="R5" s="124" t="n">
        <v>0</v>
      </c>
      <c r="S5" s="43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124" t="n">
        <v>0</v>
      </c>
      <c r="AA5" s="124" t="n">
        <v>0</v>
      </c>
      <c r="AB5" s="43" t="n">
        <v>0</v>
      </c>
      <c r="AC5" s="124" t="n">
        <v>0</v>
      </c>
      <c r="AD5" s="124" t="n">
        <v>0</v>
      </c>
      <c r="AE5" s="124" t="n"/>
      <c r="AF5" s="124" t="n"/>
    </row>
    <row r="6" ht="20" customHeight="1" s="83">
      <c r="A6" s="41" t="inlineStr">
        <is>
          <t>美麗華門市</t>
        </is>
      </c>
      <c r="B6" s="123" t="n">
        <v>0</v>
      </c>
      <c r="C6" s="123" t="n">
        <v>0</v>
      </c>
      <c r="D6" s="43" t="n">
        <v>0</v>
      </c>
      <c r="E6" s="123" t="n">
        <v>0</v>
      </c>
      <c r="F6" s="123" t="n">
        <v>0</v>
      </c>
      <c r="G6" s="43" t="n">
        <v>0</v>
      </c>
      <c r="H6" s="123" t="n">
        <v>0</v>
      </c>
      <c r="I6" s="123" t="n">
        <v>0</v>
      </c>
      <c r="J6" s="43" t="n">
        <v>0</v>
      </c>
      <c r="K6" s="123" t="n">
        <v>0</v>
      </c>
      <c r="L6" s="123" t="n">
        <v>0</v>
      </c>
      <c r="M6" s="43" t="n">
        <v>0</v>
      </c>
      <c r="N6" s="123" t="n">
        <v>0</v>
      </c>
      <c r="O6" s="123" t="n">
        <v>0</v>
      </c>
      <c r="P6" s="43" t="n">
        <v>0</v>
      </c>
      <c r="Q6" s="123" t="n">
        <v>0</v>
      </c>
      <c r="R6" s="123" t="n">
        <v>0</v>
      </c>
      <c r="S6" s="43" t="n">
        <v>0</v>
      </c>
      <c r="T6" s="44" t="n">
        <v>0</v>
      </c>
      <c r="U6" s="4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123" t="n">
        <v>0</v>
      </c>
      <c r="AA6" s="123" t="n">
        <v>0</v>
      </c>
      <c r="AB6" s="43" t="n">
        <v>0</v>
      </c>
      <c r="AC6" s="123" t="n">
        <v>0</v>
      </c>
      <c r="AD6" s="123" t="n">
        <v>0</v>
      </c>
      <c r="AE6" s="123" t="n"/>
      <c r="AF6" s="123" t="n"/>
    </row>
    <row r="7" ht="20" customHeight="1" s="83">
      <c r="A7" s="41" t="inlineStr">
        <is>
          <t>阿波羅門市</t>
        </is>
      </c>
      <c r="B7" s="124" t="n">
        <v>0</v>
      </c>
      <c r="C7" s="124" t="n">
        <v>0</v>
      </c>
      <c r="D7" s="43" t="n">
        <v>0</v>
      </c>
      <c r="E7" s="124" t="n">
        <v>0</v>
      </c>
      <c r="F7" s="124" t="n">
        <v>0</v>
      </c>
      <c r="G7" s="43" t="n">
        <v>0</v>
      </c>
      <c r="H7" s="124" t="n">
        <v>0</v>
      </c>
      <c r="I7" s="124" t="n">
        <v>0</v>
      </c>
      <c r="J7" s="43" t="n">
        <v>0</v>
      </c>
      <c r="K7" s="124" t="n">
        <v>0</v>
      </c>
      <c r="L7" s="124" t="n">
        <v>0</v>
      </c>
      <c r="M7" s="43" t="n">
        <v>0</v>
      </c>
      <c r="N7" s="124" t="n">
        <v>0</v>
      </c>
      <c r="O7" s="124" t="n">
        <v>0</v>
      </c>
      <c r="P7" s="43" t="n">
        <v>0</v>
      </c>
      <c r="Q7" s="124" t="n">
        <v>0</v>
      </c>
      <c r="R7" s="124" t="n">
        <v>0</v>
      </c>
      <c r="S7" s="43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124" t="n">
        <v>0</v>
      </c>
      <c r="AA7" s="124" t="n">
        <v>0</v>
      </c>
      <c r="AB7" s="43" t="n">
        <v>0</v>
      </c>
      <c r="AC7" s="124" t="n">
        <v>0</v>
      </c>
      <c r="AD7" s="124" t="n">
        <v>0</v>
      </c>
      <c r="AE7" s="124" t="n"/>
      <c r="AF7" s="124" t="n"/>
    </row>
    <row r="8" ht="20" customHeight="1" s="83">
      <c r="A8" s="41" t="inlineStr">
        <is>
          <t>大葉高島屋門市</t>
        </is>
      </c>
      <c r="B8" s="123" t="n">
        <v>0</v>
      </c>
      <c r="C8" s="123" t="n">
        <v>0</v>
      </c>
      <c r="D8" s="43" t="n">
        <v>0</v>
      </c>
      <c r="E8" s="123" t="n">
        <v>0</v>
      </c>
      <c r="F8" s="123" t="n">
        <v>0</v>
      </c>
      <c r="G8" s="43" t="n">
        <v>0</v>
      </c>
      <c r="H8" s="123" t="n">
        <v>0</v>
      </c>
      <c r="I8" s="123" t="n">
        <v>0</v>
      </c>
      <c r="J8" s="43" t="n">
        <v>0</v>
      </c>
      <c r="K8" s="123" t="n">
        <v>0</v>
      </c>
      <c r="L8" s="123" t="n">
        <v>0</v>
      </c>
      <c r="M8" s="43" t="n">
        <v>0</v>
      </c>
      <c r="N8" s="123" t="n">
        <v>0</v>
      </c>
      <c r="O8" s="123" t="n">
        <v>0</v>
      </c>
      <c r="P8" s="43" t="n">
        <v>0</v>
      </c>
      <c r="Q8" s="123" t="n">
        <v>0</v>
      </c>
      <c r="R8" s="123" t="n">
        <v>0</v>
      </c>
      <c r="S8" s="43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123" t="n">
        <v>0</v>
      </c>
      <c r="AA8" s="123" t="n">
        <v>0</v>
      </c>
      <c r="AB8" s="43" t="n">
        <v>0</v>
      </c>
      <c r="AC8" s="123" t="n">
        <v>0</v>
      </c>
      <c r="AD8" s="123" t="n">
        <v>0</v>
      </c>
      <c r="AE8" s="123" t="n"/>
      <c r="AF8" s="123" t="n"/>
    </row>
    <row r="9" ht="20" customHeight="1" s="83">
      <c r="A9" s="41" t="inlineStr">
        <is>
          <t>羅東門市</t>
        </is>
      </c>
      <c r="B9" s="124" t="n">
        <v>0</v>
      </c>
      <c r="C9" s="124" t="n">
        <v>0</v>
      </c>
      <c r="D9" s="43" t="n">
        <v>0</v>
      </c>
      <c r="E9" s="124" t="n">
        <v>0</v>
      </c>
      <c r="F9" s="124" t="n">
        <v>0</v>
      </c>
      <c r="G9" s="43" t="n">
        <v>0</v>
      </c>
      <c r="H9" s="124" t="n">
        <v>0</v>
      </c>
      <c r="I9" s="124" t="n">
        <v>0</v>
      </c>
      <c r="J9" s="43" t="n">
        <v>0</v>
      </c>
      <c r="K9" s="124" t="n">
        <v>0</v>
      </c>
      <c r="L9" s="124" t="n">
        <v>0</v>
      </c>
      <c r="M9" s="43" t="n">
        <v>0</v>
      </c>
      <c r="N9" s="124" t="n">
        <v>0</v>
      </c>
      <c r="O9" s="124" t="n">
        <v>0</v>
      </c>
      <c r="P9" s="43" t="n">
        <v>0</v>
      </c>
      <c r="Q9" s="124" t="n">
        <v>0</v>
      </c>
      <c r="R9" s="124" t="n">
        <v>0</v>
      </c>
      <c r="S9" s="43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124" t="n">
        <v>0</v>
      </c>
      <c r="AA9" s="124" t="n">
        <v>0</v>
      </c>
      <c r="AB9" s="43" t="n">
        <v>0</v>
      </c>
      <c r="AC9" s="124" t="n">
        <v>0</v>
      </c>
      <c r="AD9" s="124" t="n">
        <v>0</v>
      </c>
      <c r="AE9" s="124" t="n"/>
      <c r="AF9" s="124" t="n"/>
    </row>
    <row r="10" ht="20" customHeight="1" s="83">
      <c r="A10" s="47" t="inlineStr">
        <is>
          <t>Total</t>
        </is>
      </c>
      <c r="B10" s="125" t="n">
        <v>0</v>
      </c>
      <c r="C10" s="125" t="n">
        <v>0</v>
      </c>
      <c r="D10" s="49" t="n">
        <v>0</v>
      </c>
      <c r="E10" s="125" t="n">
        <v>0</v>
      </c>
      <c r="F10" s="125" t="n">
        <v>0</v>
      </c>
      <c r="G10" s="49" t="n">
        <v>0</v>
      </c>
      <c r="H10" s="125" t="n">
        <v>0</v>
      </c>
      <c r="I10" s="125" t="n">
        <v>0</v>
      </c>
      <c r="J10" s="49" t="n">
        <v>0</v>
      </c>
      <c r="K10" s="125" t="n">
        <v>0</v>
      </c>
      <c r="L10" s="125" t="n">
        <v>0</v>
      </c>
      <c r="M10" s="49" t="n">
        <v>0</v>
      </c>
      <c r="N10" s="125" t="n">
        <v>0</v>
      </c>
      <c r="O10" s="125" t="n">
        <v>0</v>
      </c>
      <c r="P10" s="49" t="n">
        <v>0</v>
      </c>
      <c r="Q10" s="125" t="n">
        <v>0</v>
      </c>
      <c r="R10" s="125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125" t="n">
        <v>0</v>
      </c>
      <c r="AA10" s="125" t="n">
        <v>0</v>
      </c>
      <c r="AB10" s="49" t="n">
        <v>0</v>
      </c>
      <c r="AC10" s="125" t="n">
        <v>0</v>
      </c>
      <c r="AD10" s="125" t="n">
        <v>0</v>
      </c>
      <c r="AE10" s="125" t="n"/>
      <c r="AF10" s="125" t="n"/>
    </row>
    <row r="12" ht="26" customHeight="1" s="83">
      <c r="A12" s="72" t="n"/>
      <c r="B12" s="72" t="inlineStr">
        <is>
          <t>CPU</t>
        </is>
      </c>
      <c r="C12" s="72" t="n"/>
      <c r="D12" s="72" t="n"/>
      <c r="E12" s="72" t="inlineStr">
        <is>
          <t>iPad</t>
        </is>
      </c>
      <c r="F12" s="72" t="n"/>
      <c r="G12" s="72" t="n"/>
      <c r="H12" s="72" t="inlineStr">
        <is>
          <t>iPhone</t>
        </is>
      </c>
      <c r="I12" s="72" t="n"/>
      <c r="J12" s="72" t="n"/>
      <c r="K12" s="72" t="inlineStr">
        <is>
          <t>Watch</t>
        </is>
      </c>
      <c r="L12" s="72" t="n"/>
      <c r="M12" s="72" t="n"/>
      <c r="N12" s="72" t="inlineStr">
        <is>
          <t>AirPods</t>
        </is>
      </c>
      <c r="O12" s="72" t="n"/>
      <c r="P12" s="72" t="n"/>
      <c r="Q12" s="72" t="n"/>
      <c r="R12" s="72" t="inlineStr">
        <is>
          <t>上週</t>
        </is>
      </c>
      <c r="S12" s="72" t="n"/>
      <c r="T12" s="72" t="n"/>
      <c r="U12" s="72" t="inlineStr">
        <is>
          <t>本週</t>
        </is>
      </c>
      <c r="V12" s="72" t="n"/>
      <c r="W12" s="72" t="n"/>
      <c r="X12" s="72" t="n"/>
      <c r="Y12" s="72" t="n"/>
      <c r="Z12" s="72" t="inlineStr">
        <is>
          <t>平均單價</t>
        </is>
      </c>
      <c r="AA12" s="72" t="n"/>
      <c r="AB12" s="72" t="n"/>
      <c r="AC12" s="72" t="n"/>
    </row>
    <row r="13" ht="42" customHeight="1" s="83">
      <c r="A13" s="86" t="n"/>
      <c r="B13" s="39" t="inlineStr">
        <is>
          <t>W15</t>
        </is>
      </c>
      <c r="C13" s="40" t="inlineStr">
        <is>
          <t>W16</t>
        </is>
      </c>
      <c r="D13" s="86" t="inlineStr">
        <is>
          <t>較上週比</t>
        </is>
      </c>
      <c r="E13" s="39" t="inlineStr">
        <is>
          <t>W15</t>
        </is>
      </c>
      <c r="F13" s="40" t="inlineStr">
        <is>
          <t>W16</t>
        </is>
      </c>
      <c r="G13" s="86" t="inlineStr">
        <is>
          <t>較上週比</t>
        </is>
      </c>
      <c r="H13" s="39" t="inlineStr">
        <is>
          <t>W15</t>
        </is>
      </c>
      <c r="I13" s="40" t="inlineStr">
        <is>
          <t>W16</t>
        </is>
      </c>
      <c r="J13" s="86" t="inlineStr">
        <is>
          <t>較上週比</t>
        </is>
      </c>
      <c r="K13" s="39" t="inlineStr">
        <is>
          <t>W15</t>
        </is>
      </c>
      <c r="L13" s="40" t="inlineStr">
        <is>
          <t>W16</t>
        </is>
      </c>
      <c r="M13" s="86" t="inlineStr">
        <is>
          <t>較上週比</t>
        </is>
      </c>
      <c r="N13" s="39" t="inlineStr">
        <is>
          <t>W15</t>
        </is>
      </c>
      <c r="O13" s="40" t="inlineStr">
        <is>
          <t>W16</t>
        </is>
      </c>
      <c r="P13" s="86" t="inlineStr">
        <is>
          <t>較上週比</t>
        </is>
      </c>
      <c r="Q13" s="86" t="n"/>
      <c r="R13" s="86" t="inlineStr">
        <is>
          <t>成交筆數</t>
        </is>
      </c>
      <c r="S13" s="86" t="inlineStr">
        <is>
          <t>人流</t>
        </is>
      </c>
      <c r="T13" s="86" t="inlineStr">
        <is>
          <t>提袋率</t>
        </is>
      </c>
      <c r="U13" s="86" t="inlineStr">
        <is>
          <t>成交筆數</t>
        </is>
      </c>
      <c r="V13" s="86" t="inlineStr">
        <is>
          <t>人流</t>
        </is>
      </c>
      <c r="W13" s="86" t="inlineStr">
        <is>
          <t>提袋率</t>
        </is>
      </c>
      <c r="X13" s="86" t="inlineStr">
        <is>
          <t>差異人流</t>
        </is>
      </c>
      <c r="Y13" s="86" t="inlineStr">
        <is>
          <t>較上週比</t>
        </is>
      </c>
      <c r="Z13" s="39" t="inlineStr">
        <is>
          <t>W15</t>
        </is>
      </c>
      <c r="AA13" s="40" t="inlineStr">
        <is>
          <t>W16</t>
        </is>
      </c>
      <c r="AB13" s="86" t="inlineStr">
        <is>
          <t>差異金額</t>
        </is>
      </c>
      <c r="AC13" s="86" t="inlineStr">
        <is>
          <t>較上週比</t>
        </is>
      </c>
    </row>
    <row r="14" ht="20" customHeight="1" s="83">
      <c r="A14" s="73" t="inlineStr">
        <is>
          <t>士林門市</t>
        </is>
      </c>
      <c r="B14" s="123" t="n">
        <v>0</v>
      </c>
      <c r="C14" s="123" t="n">
        <v>0</v>
      </c>
      <c r="D14" s="74" t="n">
        <v>0</v>
      </c>
      <c r="E14" s="123" t="n">
        <v>0</v>
      </c>
      <c r="F14" s="123" t="n">
        <v>0</v>
      </c>
      <c r="G14" s="74" t="n">
        <v>0</v>
      </c>
      <c r="H14" s="123" t="n">
        <v>0</v>
      </c>
      <c r="I14" s="123" t="n">
        <v>0</v>
      </c>
      <c r="J14" s="74" t="n">
        <v>0</v>
      </c>
      <c r="K14" s="123" t="n">
        <v>0</v>
      </c>
      <c r="L14" s="123" t="n">
        <v>0</v>
      </c>
      <c r="M14" s="74" t="n">
        <v>0</v>
      </c>
      <c r="N14" s="123" t="n">
        <v>0</v>
      </c>
      <c r="O14" s="123" t="n">
        <v>0</v>
      </c>
      <c r="P14" s="74" t="n">
        <v>0</v>
      </c>
      <c r="Q14" s="126" t="n"/>
      <c r="R14" s="123" t="n">
        <v>0</v>
      </c>
      <c r="S14" s="87" t="n"/>
      <c r="T14" s="87" t="n"/>
      <c r="U14" s="123" t="n">
        <v>0</v>
      </c>
      <c r="V14" s="87" t="n"/>
      <c r="W14" s="87" t="n"/>
      <c r="X14" s="87" t="n"/>
      <c r="Y14" s="74" t="n">
        <v>0</v>
      </c>
      <c r="Z14" s="87" t="n"/>
      <c r="AA14" s="87" t="n"/>
      <c r="AB14" s="87" t="n"/>
      <c r="AC14" s="74" t="n">
        <v>0</v>
      </c>
    </row>
    <row r="15" ht="20" customHeight="1" s="83">
      <c r="A15" s="73" t="inlineStr">
        <is>
          <t>微風門市</t>
        </is>
      </c>
      <c r="B15" s="124" t="n">
        <v>0</v>
      </c>
      <c r="C15" s="124" t="n">
        <v>0</v>
      </c>
      <c r="D15" s="74" t="n">
        <v>0</v>
      </c>
      <c r="E15" s="124" t="n">
        <v>0</v>
      </c>
      <c r="F15" s="124" t="n">
        <v>0</v>
      </c>
      <c r="G15" s="74" t="n">
        <v>0</v>
      </c>
      <c r="H15" s="124" t="n">
        <v>0</v>
      </c>
      <c r="I15" s="124" t="n">
        <v>0</v>
      </c>
      <c r="J15" s="74" t="n">
        <v>0</v>
      </c>
      <c r="K15" s="124" t="n">
        <v>0</v>
      </c>
      <c r="L15" s="124" t="n">
        <v>0</v>
      </c>
      <c r="M15" s="74" t="n">
        <v>0</v>
      </c>
      <c r="N15" s="124" t="n">
        <v>0</v>
      </c>
      <c r="O15" s="124" t="n">
        <v>0</v>
      </c>
      <c r="P15" s="74" t="n">
        <v>0</v>
      </c>
      <c r="Q15" s="126" t="n"/>
      <c r="R15" s="124" t="n">
        <v>0</v>
      </c>
      <c r="S15" s="50" t="n"/>
      <c r="T15" s="50" t="n"/>
      <c r="U15" s="124" t="n">
        <v>0</v>
      </c>
      <c r="V15" s="50" t="n"/>
      <c r="W15" s="50" t="n"/>
      <c r="X15" s="50" t="n"/>
      <c r="Y15" s="74" t="n">
        <v>0</v>
      </c>
      <c r="Z15" s="50" t="n"/>
      <c r="AA15" s="50" t="n"/>
      <c r="AB15" s="50" t="n"/>
      <c r="AC15" s="74" t="n">
        <v>0</v>
      </c>
    </row>
    <row r="16" ht="20" customHeight="1" s="83">
      <c r="A16" s="73" t="inlineStr">
        <is>
          <t>美麗華門市</t>
        </is>
      </c>
      <c r="B16" s="123" t="n">
        <v>0</v>
      </c>
      <c r="C16" s="123" t="n">
        <v>0</v>
      </c>
      <c r="D16" s="74" t="n">
        <v>0</v>
      </c>
      <c r="E16" s="123" t="n">
        <v>0</v>
      </c>
      <c r="F16" s="123" t="n">
        <v>0</v>
      </c>
      <c r="G16" s="74" t="n">
        <v>0</v>
      </c>
      <c r="H16" s="123" t="n">
        <v>0</v>
      </c>
      <c r="I16" s="123" t="n">
        <v>0</v>
      </c>
      <c r="J16" s="74" t="n">
        <v>0</v>
      </c>
      <c r="K16" s="123" t="n">
        <v>0</v>
      </c>
      <c r="L16" s="123" t="n">
        <v>0</v>
      </c>
      <c r="M16" s="74" t="n">
        <v>0</v>
      </c>
      <c r="N16" s="123" t="n">
        <v>0</v>
      </c>
      <c r="O16" s="123" t="n">
        <v>0</v>
      </c>
      <c r="P16" s="74" t="n">
        <v>0</v>
      </c>
      <c r="Q16" s="126" t="n"/>
      <c r="R16" s="123" t="n">
        <v>0</v>
      </c>
      <c r="S16" s="87" t="n"/>
      <c r="T16" s="87" t="n"/>
      <c r="U16" s="123" t="n">
        <v>0</v>
      </c>
      <c r="V16" s="87" t="n"/>
      <c r="W16" s="87" t="n"/>
      <c r="X16" s="87" t="n"/>
      <c r="Y16" s="74" t="n">
        <v>0</v>
      </c>
      <c r="Z16" s="87" t="n"/>
      <c r="AA16" s="87" t="n"/>
      <c r="AB16" s="87" t="n"/>
      <c r="AC16" s="74" t="n">
        <v>0</v>
      </c>
    </row>
    <row r="17" ht="20" customHeight="1" s="83">
      <c r="A17" s="73" t="inlineStr">
        <is>
          <t>阿波羅門市</t>
        </is>
      </c>
      <c r="B17" s="124" t="n">
        <v>0</v>
      </c>
      <c r="C17" s="124" t="n">
        <v>0</v>
      </c>
      <c r="D17" s="74" t="n">
        <v>0</v>
      </c>
      <c r="E17" s="124" t="n">
        <v>0</v>
      </c>
      <c r="F17" s="124" t="n">
        <v>0</v>
      </c>
      <c r="G17" s="74" t="n">
        <v>0</v>
      </c>
      <c r="H17" s="124" t="n">
        <v>0</v>
      </c>
      <c r="I17" s="124" t="n">
        <v>0</v>
      </c>
      <c r="J17" s="74" t="n">
        <v>0</v>
      </c>
      <c r="K17" s="124" t="n">
        <v>0</v>
      </c>
      <c r="L17" s="124" t="n">
        <v>0</v>
      </c>
      <c r="M17" s="74" t="n">
        <v>0</v>
      </c>
      <c r="N17" s="124" t="n">
        <v>0</v>
      </c>
      <c r="O17" s="124" t="n">
        <v>0</v>
      </c>
      <c r="P17" s="74" t="n">
        <v>0</v>
      </c>
      <c r="Q17" s="126" t="n"/>
      <c r="R17" s="124" t="n">
        <v>0</v>
      </c>
      <c r="S17" s="50" t="n"/>
      <c r="T17" s="50" t="n"/>
      <c r="U17" s="124" t="n">
        <v>0</v>
      </c>
      <c r="V17" s="50" t="n"/>
      <c r="W17" s="50" t="n"/>
      <c r="X17" s="50" t="n"/>
      <c r="Y17" s="74" t="n">
        <v>0</v>
      </c>
      <c r="Z17" s="50" t="n"/>
      <c r="AA17" s="50" t="n"/>
      <c r="AB17" s="50" t="n"/>
      <c r="AC17" s="74" t="n">
        <v>0</v>
      </c>
    </row>
    <row r="18" ht="20" customHeight="1" s="83">
      <c r="A18" s="73" t="inlineStr">
        <is>
          <t>大葉高島屋門市</t>
        </is>
      </c>
      <c r="B18" s="123" t="n">
        <v>0</v>
      </c>
      <c r="C18" s="123" t="n">
        <v>0</v>
      </c>
      <c r="D18" s="74" t="n">
        <v>0</v>
      </c>
      <c r="E18" s="123" t="n">
        <v>0</v>
      </c>
      <c r="F18" s="123" t="n">
        <v>0</v>
      </c>
      <c r="G18" s="74" t="n">
        <v>0</v>
      </c>
      <c r="H18" s="123" t="n">
        <v>0</v>
      </c>
      <c r="I18" s="123" t="n">
        <v>0</v>
      </c>
      <c r="J18" s="74" t="n">
        <v>0</v>
      </c>
      <c r="K18" s="123" t="n">
        <v>0</v>
      </c>
      <c r="L18" s="123" t="n">
        <v>0</v>
      </c>
      <c r="M18" s="74" t="n">
        <v>0</v>
      </c>
      <c r="N18" s="123" t="n">
        <v>0</v>
      </c>
      <c r="O18" s="123" t="n">
        <v>0</v>
      </c>
      <c r="P18" s="74" t="n">
        <v>0</v>
      </c>
      <c r="Q18" s="126" t="n"/>
      <c r="R18" s="123" t="n">
        <v>0</v>
      </c>
      <c r="S18" s="87" t="n"/>
      <c r="T18" s="87" t="n"/>
      <c r="U18" s="123" t="n">
        <v>0</v>
      </c>
      <c r="V18" s="87" t="n"/>
      <c r="W18" s="87" t="n"/>
      <c r="X18" s="87" t="n"/>
      <c r="Y18" s="74" t="n">
        <v>0</v>
      </c>
      <c r="Z18" s="87" t="n"/>
      <c r="AA18" s="87" t="n"/>
      <c r="AB18" s="87" t="n"/>
      <c r="AC18" s="74" t="n">
        <v>0</v>
      </c>
    </row>
    <row r="19" ht="20" customHeight="1" s="83">
      <c r="A19" s="73" t="inlineStr">
        <is>
          <t>羅東門市</t>
        </is>
      </c>
      <c r="B19" s="124" t="n">
        <v>0</v>
      </c>
      <c r="C19" s="124" t="n">
        <v>0</v>
      </c>
      <c r="D19" s="74" t="n">
        <v>0</v>
      </c>
      <c r="E19" s="124" t="n">
        <v>0</v>
      </c>
      <c r="F19" s="124" t="n">
        <v>0</v>
      </c>
      <c r="G19" s="74" t="n">
        <v>0</v>
      </c>
      <c r="H19" s="124" t="n">
        <v>0</v>
      </c>
      <c r="I19" s="124" t="n">
        <v>0</v>
      </c>
      <c r="J19" s="74" t="n">
        <v>0</v>
      </c>
      <c r="K19" s="124" t="n">
        <v>0</v>
      </c>
      <c r="L19" s="124" t="n">
        <v>0</v>
      </c>
      <c r="M19" s="74" t="n">
        <v>0</v>
      </c>
      <c r="N19" s="124" t="n">
        <v>0</v>
      </c>
      <c r="O19" s="124" t="n">
        <v>0</v>
      </c>
      <c r="P19" s="74" t="n">
        <v>0</v>
      </c>
      <c r="Q19" s="126" t="n"/>
      <c r="R19" s="124" t="n">
        <v>0</v>
      </c>
      <c r="S19" s="50">
        <f>R19*0.85/0.3</f>
        <v/>
      </c>
      <c r="T19" s="50" t="n"/>
      <c r="U19" s="124" t="n">
        <v>0</v>
      </c>
      <c r="V19" s="50">
        <f>U19*0.85/0.3</f>
        <v/>
      </c>
      <c r="W19" s="50" t="n"/>
      <c r="X19" s="50" t="n"/>
      <c r="Y19" s="74" t="n">
        <v>0</v>
      </c>
      <c r="Z19" s="50" t="n"/>
      <c r="AA19" s="50" t="n"/>
      <c r="AB19" s="50" t="n"/>
      <c r="AC19" s="74" t="n">
        <v>0</v>
      </c>
    </row>
    <row r="20" ht="20" customHeight="1" s="83">
      <c r="A20" s="47" t="inlineStr">
        <is>
          <t>Total</t>
        </is>
      </c>
      <c r="B20" s="125" t="n">
        <v>0</v>
      </c>
      <c r="C20" s="125" t="n">
        <v>0</v>
      </c>
      <c r="D20" s="49" t="n">
        <v>0</v>
      </c>
      <c r="E20" s="125" t="n">
        <v>0</v>
      </c>
      <c r="F20" s="125" t="n">
        <v>0</v>
      </c>
      <c r="G20" s="49" t="n">
        <v>0</v>
      </c>
      <c r="H20" s="125" t="n">
        <v>0</v>
      </c>
      <c r="I20" s="125" t="n">
        <v>0</v>
      </c>
      <c r="J20" s="49" t="n">
        <v>0</v>
      </c>
      <c r="K20" s="125" t="n">
        <v>0</v>
      </c>
      <c r="L20" s="125" t="n">
        <v>0</v>
      </c>
      <c r="M20" s="49" t="n">
        <v>0</v>
      </c>
      <c r="N20" s="125" t="n">
        <v>0</v>
      </c>
      <c r="O20" s="125" t="n">
        <v>0</v>
      </c>
      <c r="P20" s="49" t="n">
        <v>0</v>
      </c>
      <c r="Q20" s="127" t="n"/>
      <c r="R20" s="125" t="n">
        <v>0</v>
      </c>
      <c r="S20" s="88" t="n"/>
      <c r="T20" s="88" t="n"/>
      <c r="U20" s="125" t="n">
        <v>0</v>
      </c>
      <c r="V20" s="88" t="n"/>
      <c r="W20" s="88" t="n"/>
      <c r="X20" s="88" t="n"/>
      <c r="Y20" s="49" t="n">
        <v>0</v>
      </c>
      <c r="Z20" s="88" t="n"/>
      <c r="AA20" s="88" t="n"/>
      <c r="AB20" s="88" t="n"/>
      <c r="AC20" s="49" t="n">
        <v>0</v>
      </c>
    </row>
    <row r="22" ht="42" customHeight="1" s="83">
      <c r="A22" s="40" t="inlineStr">
        <is>
          <t>W16</t>
        </is>
      </c>
      <c r="B22" s="86" t="inlineStr">
        <is>
          <t>CPU</t>
        </is>
      </c>
      <c r="C22" s="86" t="inlineStr">
        <is>
          <t>Mac ACPP+</t>
        </is>
      </c>
      <c r="D22" s="86" t="inlineStr">
        <is>
          <t>ACPP+搭售率</t>
        </is>
      </c>
      <c r="E22" s="86" t="inlineStr">
        <is>
          <t>Mac SACare</t>
        </is>
      </c>
      <c r="F22" s="86" t="inlineStr">
        <is>
          <t>SACare搭售率</t>
        </is>
      </c>
      <c r="G22" s="86" t="inlineStr">
        <is>
          <t>合計搭售率</t>
        </is>
      </c>
      <c r="H22" s="86" t="inlineStr">
        <is>
          <t>Watch</t>
        </is>
      </c>
      <c r="I22" s="86" t="inlineStr">
        <is>
          <t>Watch ACPP+</t>
        </is>
      </c>
      <c r="J22" s="86" t="inlineStr">
        <is>
          <t>ACPP+搭售率</t>
        </is>
      </c>
      <c r="K22" s="86" t="inlineStr">
        <is>
          <t>Watch SACare</t>
        </is>
      </c>
      <c r="L22" s="86" t="inlineStr">
        <is>
          <t>SACare搭售率</t>
        </is>
      </c>
      <c r="M22" s="86" t="inlineStr">
        <is>
          <t>合計搭售率</t>
        </is>
      </c>
      <c r="N22" s="86" t="inlineStr">
        <is>
          <t>iPad</t>
        </is>
      </c>
      <c r="O22" s="86" t="inlineStr">
        <is>
          <t>iPad ACPP+</t>
        </is>
      </c>
      <c r="P22" s="86" t="inlineStr">
        <is>
          <t>ACPP+搭售率</t>
        </is>
      </c>
      <c r="Q22" s="86" t="inlineStr">
        <is>
          <t>iPad SACare</t>
        </is>
      </c>
      <c r="R22" s="86" t="inlineStr">
        <is>
          <t>SACare搭售率</t>
        </is>
      </c>
      <c r="S22" s="86" t="inlineStr">
        <is>
          <t>合計搭售率</t>
        </is>
      </c>
      <c r="T22" s="86" t="inlineStr">
        <is>
          <t>iPhone</t>
        </is>
      </c>
      <c r="U22" s="86" t="inlineStr">
        <is>
          <t>iPhone ACPP+</t>
        </is>
      </c>
      <c r="V22" s="86" t="inlineStr">
        <is>
          <t>ACPP+搭售率</t>
        </is>
      </c>
      <c r="W22" s="86" t="inlineStr">
        <is>
          <t>iPhone SACare</t>
        </is>
      </c>
      <c r="X22" s="86" t="inlineStr">
        <is>
          <t>SACare搭售率</t>
        </is>
      </c>
      <c r="Y22" s="86" t="inlineStr">
        <is>
          <t>合計搭售率</t>
        </is>
      </c>
      <c r="Z22" s="86" t="inlineStr">
        <is>
          <t>iOS搭售率</t>
        </is>
      </c>
      <c r="AA22" s="86" t="inlineStr">
        <is>
          <t>Airpods</t>
        </is>
      </c>
      <c r="AB22" s="86" t="inlineStr">
        <is>
          <t>ACPP+</t>
        </is>
      </c>
      <c r="AC22" s="86" t="inlineStr">
        <is>
          <t>ACPP+搭售率</t>
        </is>
      </c>
      <c r="AD22" s="86" t="inlineStr">
        <is>
          <t>SACare</t>
        </is>
      </c>
      <c r="AE22" s="86" t="inlineStr">
        <is>
          <t>SACare搭售率</t>
        </is>
      </c>
      <c r="AF22" s="86" t="inlineStr">
        <is>
          <t>合計搭售率</t>
        </is>
      </c>
    </row>
    <row r="23" ht="20" customHeight="1" s="83">
      <c r="A23" s="41" t="inlineStr">
        <is>
          <t>士林門市</t>
        </is>
      </c>
      <c r="B23" s="123" t="n">
        <v>0</v>
      </c>
      <c r="C23" s="123" t="n">
        <v>0</v>
      </c>
      <c r="D23" s="44" t="n">
        <v>0</v>
      </c>
      <c r="E23" s="123" t="n">
        <v>0</v>
      </c>
      <c r="F23" s="44" t="n">
        <v>0</v>
      </c>
      <c r="G23" s="44" t="n">
        <v>0</v>
      </c>
      <c r="H23" s="123" t="n">
        <v>0</v>
      </c>
      <c r="I23" s="123" t="n">
        <v>0</v>
      </c>
      <c r="J23" s="44" t="n">
        <v>0</v>
      </c>
      <c r="K23" s="123" t="n">
        <v>0</v>
      </c>
      <c r="L23" s="44" t="n">
        <v>0</v>
      </c>
      <c r="M23" s="44" t="n">
        <v>0</v>
      </c>
      <c r="N23" s="123" t="n">
        <v>0</v>
      </c>
      <c r="O23" s="123" t="n">
        <v>0</v>
      </c>
      <c r="P23" s="44" t="n">
        <v>0</v>
      </c>
      <c r="Q23" s="123" t="n">
        <v>0</v>
      </c>
      <c r="R23" s="44" t="n">
        <v>0</v>
      </c>
      <c r="S23" s="44" t="n">
        <v>0</v>
      </c>
      <c r="T23" s="123" t="n">
        <v>0</v>
      </c>
      <c r="U23" s="123" t="n">
        <v>0</v>
      </c>
      <c r="V23" s="44" t="n">
        <v>0</v>
      </c>
      <c r="W23" s="123" t="n">
        <v>0</v>
      </c>
      <c r="X23" s="44" t="n">
        <v>0</v>
      </c>
      <c r="Y23" s="44" t="n">
        <v>0</v>
      </c>
      <c r="Z23" s="44" t="n">
        <v>0</v>
      </c>
      <c r="AA23" s="123" t="n">
        <v>0</v>
      </c>
      <c r="AB23" s="123" t="n">
        <v>0</v>
      </c>
      <c r="AC23" s="44" t="n">
        <v>0</v>
      </c>
      <c r="AD23" s="123" t="n">
        <v>0</v>
      </c>
      <c r="AE23" s="44" t="n">
        <v>0</v>
      </c>
      <c r="AF23" s="44" t="n">
        <v>0</v>
      </c>
    </row>
    <row r="24" ht="20" customHeight="1" s="83">
      <c r="A24" s="41" t="inlineStr">
        <is>
          <t>微風門市</t>
        </is>
      </c>
      <c r="B24" s="124" t="n">
        <v>0</v>
      </c>
      <c r="C24" s="124" t="n">
        <v>0</v>
      </c>
      <c r="D24" s="46" t="n">
        <v>0</v>
      </c>
      <c r="E24" s="124" t="n">
        <v>0</v>
      </c>
      <c r="F24" s="46" t="n">
        <v>0</v>
      </c>
      <c r="G24" s="46" t="n">
        <v>0</v>
      </c>
      <c r="H24" s="124" t="n">
        <v>0</v>
      </c>
      <c r="I24" s="124" t="n">
        <v>0</v>
      </c>
      <c r="J24" s="46" t="n">
        <v>0</v>
      </c>
      <c r="K24" s="124" t="n">
        <v>0</v>
      </c>
      <c r="L24" s="46" t="n">
        <v>0</v>
      </c>
      <c r="M24" s="46" t="n">
        <v>0</v>
      </c>
      <c r="N24" s="124" t="n">
        <v>0</v>
      </c>
      <c r="O24" s="124" t="n">
        <v>0</v>
      </c>
      <c r="P24" s="46" t="n">
        <v>0</v>
      </c>
      <c r="Q24" s="124" t="n">
        <v>0</v>
      </c>
      <c r="R24" s="46" t="n">
        <v>0</v>
      </c>
      <c r="S24" s="46" t="n">
        <v>0</v>
      </c>
      <c r="T24" s="124" t="n">
        <v>0</v>
      </c>
      <c r="U24" s="124" t="n">
        <v>0</v>
      </c>
      <c r="V24" s="46" t="n">
        <v>0</v>
      </c>
      <c r="W24" s="124" t="n">
        <v>0</v>
      </c>
      <c r="X24" s="46" t="n">
        <v>0</v>
      </c>
      <c r="Y24" s="46" t="n">
        <v>0</v>
      </c>
      <c r="Z24" s="46" t="n">
        <v>0</v>
      </c>
      <c r="AA24" s="124" t="n">
        <v>0</v>
      </c>
      <c r="AB24" s="124" t="n">
        <v>0</v>
      </c>
      <c r="AC24" s="46" t="n">
        <v>0</v>
      </c>
      <c r="AD24" s="124" t="n">
        <v>0</v>
      </c>
      <c r="AE24" s="46" t="n">
        <v>0</v>
      </c>
      <c r="AF24" s="46" t="n">
        <v>0</v>
      </c>
    </row>
    <row r="25" ht="20" customHeight="1" s="83">
      <c r="A25" s="41" t="inlineStr">
        <is>
          <t>美麗華門市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阿波羅門市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大葉高島屋門市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羅東門市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7" t="inlineStr">
        <is>
          <t>Total</t>
        </is>
      </c>
      <c r="B29" s="125" t="n">
        <v>0</v>
      </c>
      <c r="C29" s="125" t="n">
        <v>0</v>
      </c>
      <c r="D29" s="49" t="n">
        <v>0</v>
      </c>
      <c r="E29" s="125" t="n">
        <v>0</v>
      </c>
      <c r="F29" s="49" t="n">
        <v>0</v>
      </c>
      <c r="G29" s="49" t="n">
        <v>0</v>
      </c>
      <c r="H29" s="125" t="n">
        <v>0</v>
      </c>
      <c r="I29" s="125" t="n">
        <v>0</v>
      </c>
      <c r="J29" s="49" t="n">
        <v>0</v>
      </c>
      <c r="K29" s="125" t="n">
        <v>0</v>
      </c>
      <c r="L29" s="49" t="n">
        <v>0</v>
      </c>
      <c r="M29" s="49" t="n">
        <v>0</v>
      </c>
      <c r="N29" s="125" t="n">
        <v>0</v>
      </c>
      <c r="O29" s="125" t="n">
        <v>0</v>
      </c>
      <c r="P29" s="49" t="n">
        <v>0</v>
      </c>
      <c r="Q29" s="125" t="n">
        <v>0</v>
      </c>
      <c r="R29" s="49" t="n">
        <v>0</v>
      </c>
      <c r="S29" s="49" t="n">
        <v>0</v>
      </c>
      <c r="T29" s="125" t="n">
        <v>0</v>
      </c>
      <c r="U29" s="125" t="n">
        <v>0</v>
      </c>
      <c r="V29" s="49" t="n">
        <v>0</v>
      </c>
      <c r="W29" s="125" t="n">
        <v>0</v>
      </c>
      <c r="X29" s="49" t="n">
        <v>0</v>
      </c>
      <c r="Y29" s="49" t="n">
        <v>0</v>
      </c>
      <c r="Z29" s="49" t="n">
        <v>0</v>
      </c>
      <c r="AA29" s="125" t="n">
        <v>0</v>
      </c>
      <c r="AB29" s="125" t="n">
        <v>0</v>
      </c>
      <c r="AC29" s="49" t="n">
        <v>0</v>
      </c>
      <c r="AD29" s="125" t="n">
        <v>0</v>
      </c>
      <c r="AE29" s="49" t="n">
        <v>0</v>
      </c>
      <c r="AF29" s="49" t="n">
        <v>0</v>
      </c>
    </row>
    <row r="31" ht="42" customHeight="1" s="83">
      <c r="A31" s="39" t="inlineStr">
        <is>
          <t>W15</t>
        </is>
      </c>
      <c r="B31" s="86" t="inlineStr">
        <is>
          <t>CPU</t>
        </is>
      </c>
      <c r="C31" s="86" t="inlineStr">
        <is>
          <t>Mac ACPP+</t>
        </is>
      </c>
      <c r="D31" s="86" t="inlineStr">
        <is>
          <t>ACPP+搭售率</t>
        </is>
      </c>
      <c r="E31" s="86" t="inlineStr">
        <is>
          <t>Mac SACare</t>
        </is>
      </c>
      <c r="F31" s="86" t="inlineStr">
        <is>
          <t>SACare搭售率</t>
        </is>
      </c>
      <c r="G31" s="86" t="inlineStr">
        <is>
          <t>合計搭售率</t>
        </is>
      </c>
      <c r="H31" s="86" t="inlineStr">
        <is>
          <t>Watch</t>
        </is>
      </c>
      <c r="I31" s="86" t="inlineStr">
        <is>
          <t>Watch ACPP+</t>
        </is>
      </c>
      <c r="J31" s="86" t="inlineStr">
        <is>
          <t>ACPP+搭售率</t>
        </is>
      </c>
      <c r="K31" s="86" t="inlineStr">
        <is>
          <t>Watch SACare</t>
        </is>
      </c>
      <c r="L31" s="86" t="inlineStr">
        <is>
          <t>SACare搭售率</t>
        </is>
      </c>
      <c r="M31" s="86" t="inlineStr">
        <is>
          <t>合計搭售率</t>
        </is>
      </c>
      <c r="N31" s="86" t="inlineStr">
        <is>
          <t>iPad</t>
        </is>
      </c>
      <c r="O31" s="86" t="inlineStr">
        <is>
          <t>iPad ACPP+</t>
        </is>
      </c>
      <c r="P31" s="86" t="inlineStr">
        <is>
          <t>ACPP+搭售率</t>
        </is>
      </c>
      <c r="Q31" s="86" t="inlineStr">
        <is>
          <t>iPad SACare</t>
        </is>
      </c>
      <c r="R31" s="86" t="inlineStr">
        <is>
          <t>SACare搭售率</t>
        </is>
      </c>
      <c r="S31" s="86" t="inlineStr">
        <is>
          <t>合計搭售率</t>
        </is>
      </c>
      <c r="T31" s="86" t="inlineStr">
        <is>
          <t>iPhone</t>
        </is>
      </c>
      <c r="U31" s="86" t="inlineStr">
        <is>
          <t>iPhone ACPP+</t>
        </is>
      </c>
      <c r="V31" s="86" t="inlineStr">
        <is>
          <t>ACPP+搭售率</t>
        </is>
      </c>
      <c r="W31" s="86" t="inlineStr">
        <is>
          <t>iPhone SACare</t>
        </is>
      </c>
      <c r="X31" s="86" t="inlineStr">
        <is>
          <t>SACare搭售率</t>
        </is>
      </c>
      <c r="Y31" s="86" t="inlineStr">
        <is>
          <t>合計搭售率</t>
        </is>
      </c>
      <c r="Z31" s="86" t="inlineStr">
        <is>
          <t>iOS搭售率</t>
        </is>
      </c>
      <c r="AA31" s="86" t="inlineStr">
        <is>
          <t>Airpods</t>
        </is>
      </c>
      <c r="AB31" s="86" t="inlineStr">
        <is>
          <t>ACPP+</t>
        </is>
      </c>
      <c r="AC31" s="86" t="inlineStr">
        <is>
          <t>ACPP+搭售率</t>
        </is>
      </c>
      <c r="AD31" s="86" t="inlineStr">
        <is>
          <t>SACare</t>
        </is>
      </c>
      <c r="AE31" s="86" t="inlineStr">
        <is>
          <t>SACare搭售率</t>
        </is>
      </c>
      <c r="AF31" s="86" t="inlineStr">
        <is>
          <t>合計搭售率</t>
        </is>
      </c>
    </row>
    <row r="32" ht="20" customHeight="1" s="83">
      <c r="A32" s="41" t="inlineStr">
        <is>
          <t>士林門市</t>
        </is>
      </c>
      <c r="B32" s="123" t="n">
        <v>0</v>
      </c>
      <c r="C32" s="123" t="n">
        <v>0</v>
      </c>
      <c r="D32" s="44" t="n">
        <v>0</v>
      </c>
      <c r="E32" s="123" t="n">
        <v>0</v>
      </c>
      <c r="F32" s="44" t="n">
        <v>0</v>
      </c>
      <c r="G32" s="44" t="n">
        <v>0</v>
      </c>
      <c r="H32" s="123" t="n">
        <v>0</v>
      </c>
      <c r="I32" s="123" t="n">
        <v>0</v>
      </c>
      <c r="J32" s="44" t="n">
        <v>0</v>
      </c>
      <c r="K32" s="123" t="n">
        <v>0</v>
      </c>
      <c r="L32" s="44" t="n">
        <v>0</v>
      </c>
      <c r="M32" s="44" t="n">
        <v>0</v>
      </c>
      <c r="N32" s="123" t="n">
        <v>0</v>
      </c>
      <c r="O32" s="123" t="n">
        <v>0</v>
      </c>
      <c r="P32" s="44" t="n">
        <v>0</v>
      </c>
      <c r="Q32" s="123" t="n">
        <v>0</v>
      </c>
      <c r="R32" s="44" t="n">
        <v>0</v>
      </c>
      <c r="S32" s="44" t="n">
        <v>0</v>
      </c>
      <c r="T32" s="123" t="n">
        <v>0</v>
      </c>
      <c r="U32" s="123" t="n">
        <v>0</v>
      </c>
      <c r="V32" s="44" t="n">
        <v>0</v>
      </c>
      <c r="W32" s="123" t="n">
        <v>0</v>
      </c>
      <c r="X32" s="44" t="n">
        <v>0</v>
      </c>
      <c r="Y32" s="44" t="n">
        <v>0</v>
      </c>
      <c r="Z32" s="44" t="n">
        <v>0</v>
      </c>
      <c r="AA32" s="123" t="n">
        <v>0</v>
      </c>
      <c r="AB32" s="123" t="n">
        <v>0</v>
      </c>
      <c r="AC32" s="44" t="n">
        <v>0</v>
      </c>
      <c r="AD32" s="123" t="n">
        <v>0</v>
      </c>
      <c r="AE32" s="44" t="n">
        <v>0</v>
      </c>
      <c r="AF32" s="44" t="n">
        <v>0</v>
      </c>
    </row>
    <row r="33" ht="20" customHeight="1" s="83">
      <c r="A33" s="41" t="inlineStr">
        <is>
          <t>微風門市</t>
        </is>
      </c>
      <c r="B33" s="124" t="n">
        <v>0</v>
      </c>
      <c r="C33" s="124" t="n">
        <v>0</v>
      </c>
      <c r="D33" s="46" t="n">
        <v>0</v>
      </c>
      <c r="E33" s="124" t="n">
        <v>0</v>
      </c>
      <c r="F33" s="46" t="n">
        <v>0</v>
      </c>
      <c r="G33" s="46" t="n">
        <v>0</v>
      </c>
      <c r="H33" s="124" t="n">
        <v>0</v>
      </c>
      <c r="I33" s="124" t="n">
        <v>0</v>
      </c>
      <c r="J33" s="46" t="n">
        <v>0</v>
      </c>
      <c r="K33" s="124" t="n">
        <v>0</v>
      </c>
      <c r="L33" s="46" t="n">
        <v>0</v>
      </c>
      <c r="M33" s="46" t="n">
        <v>0</v>
      </c>
      <c r="N33" s="124" t="n">
        <v>0</v>
      </c>
      <c r="O33" s="124" t="n">
        <v>0</v>
      </c>
      <c r="P33" s="46" t="n">
        <v>0</v>
      </c>
      <c r="Q33" s="124" t="n">
        <v>0</v>
      </c>
      <c r="R33" s="46" t="n">
        <v>0</v>
      </c>
      <c r="S33" s="46" t="n">
        <v>0</v>
      </c>
      <c r="T33" s="124" t="n">
        <v>0</v>
      </c>
      <c r="U33" s="124" t="n">
        <v>0</v>
      </c>
      <c r="V33" s="46" t="n">
        <v>0</v>
      </c>
      <c r="W33" s="124" t="n">
        <v>0</v>
      </c>
      <c r="X33" s="46" t="n">
        <v>0</v>
      </c>
      <c r="Y33" s="46" t="n">
        <v>0</v>
      </c>
      <c r="Z33" s="46" t="n">
        <v>0</v>
      </c>
      <c r="AA33" s="124" t="n">
        <v>0</v>
      </c>
      <c r="AB33" s="124" t="n">
        <v>0</v>
      </c>
      <c r="AC33" s="46" t="n">
        <v>0</v>
      </c>
      <c r="AD33" s="124" t="n">
        <v>0</v>
      </c>
      <c r="AE33" s="46" t="n">
        <v>0</v>
      </c>
      <c r="AF33" s="46" t="n">
        <v>0</v>
      </c>
    </row>
    <row r="34" ht="20" customHeight="1" s="83">
      <c r="A34" s="41" t="inlineStr">
        <is>
          <t>美麗華門市</t>
        </is>
      </c>
      <c r="B34" s="123" t="n">
        <v>0</v>
      </c>
      <c r="C34" s="123" t="n">
        <v>0</v>
      </c>
      <c r="D34" s="44" t="n">
        <v>0</v>
      </c>
      <c r="E34" s="123" t="n">
        <v>0</v>
      </c>
      <c r="F34" s="44" t="n">
        <v>0</v>
      </c>
      <c r="G34" s="44" t="n">
        <v>0</v>
      </c>
      <c r="H34" s="123" t="n">
        <v>0</v>
      </c>
      <c r="I34" s="123" t="n">
        <v>0</v>
      </c>
      <c r="J34" s="44" t="n">
        <v>0</v>
      </c>
      <c r="K34" s="123" t="n">
        <v>0</v>
      </c>
      <c r="L34" s="44" t="n">
        <v>0</v>
      </c>
      <c r="M34" s="44" t="n">
        <v>0</v>
      </c>
      <c r="N34" s="123" t="n">
        <v>0</v>
      </c>
      <c r="O34" s="123" t="n">
        <v>0</v>
      </c>
      <c r="P34" s="44" t="n">
        <v>0</v>
      </c>
      <c r="Q34" s="123" t="n">
        <v>0</v>
      </c>
      <c r="R34" s="44" t="n">
        <v>0</v>
      </c>
      <c r="S34" s="44" t="n">
        <v>0</v>
      </c>
      <c r="T34" s="123" t="n">
        <v>0</v>
      </c>
      <c r="U34" s="123" t="n">
        <v>0</v>
      </c>
      <c r="V34" s="44" t="n">
        <v>0</v>
      </c>
      <c r="W34" s="123" t="n">
        <v>0</v>
      </c>
      <c r="X34" s="44" t="n">
        <v>0</v>
      </c>
      <c r="Y34" s="44" t="n">
        <v>0</v>
      </c>
      <c r="Z34" s="44" t="n">
        <v>0</v>
      </c>
      <c r="AA34" s="123" t="n">
        <v>0</v>
      </c>
      <c r="AB34" s="123" t="n">
        <v>0</v>
      </c>
      <c r="AC34" s="44" t="n">
        <v>0</v>
      </c>
      <c r="AD34" s="123" t="n">
        <v>0</v>
      </c>
      <c r="AE34" s="44" t="n">
        <v>0</v>
      </c>
      <c r="AF34" s="44" t="n">
        <v>0</v>
      </c>
    </row>
    <row r="35" ht="20" customHeight="1" s="83">
      <c r="A35" s="41" t="inlineStr">
        <is>
          <t>阿波羅門市</t>
        </is>
      </c>
      <c r="B35" s="124" t="n">
        <v>0</v>
      </c>
      <c r="C35" s="124" t="n">
        <v>0</v>
      </c>
      <c r="D35" s="46" t="n">
        <v>0</v>
      </c>
      <c r="E35" s="124" t="n">
        <v>0</v>
      </c>
      <c r="F35" s="46" t="n">
        <v>0</v>
      </c>
      <c r="G35" s="46" t="n">
        <v>0</v>
      </c>
      <c r="H35" s="124" t="n">
        <v>0</v>
      </c>
      <c r="I35" s="124" t="n">
        <v>0</v>
      </c>
      <c r="J35" s="46" t="n">
        <v>0</v>
      </c>
      <c r="K35" s="124" t="n">
        <v>0</v>
      </c>
      <c r="L35" s="46" t="n">
        <v>0</v>
      </c>
      <c r="M35" s="46" t="n">
        <v>0</v>
      </c>
      <c r="N35" s="124" t="n">
        <v>0</v>
      </c>
      <c r="O35" s="124" t="n">
        <v>0</v>
      </c>
      <c r="P35" s="46" t="n">
        <v>0</v>
      </c>
      <c r="Q35" s="124" t="n">
        <v>0</v>
      </c>
      <c r="R35" s="46" t="n">
        <v>0</v>
      </c>
      <c r="S35" s="46" t="n">
        <v>0</v>
      </c>
      <c r="T35" s="124" t="n">
        <v>0</v>
      </c>
      <c r="U35" s="124" t="n">
        <v>0</v>
      </c>
      <c r="V35" s="46" t="n">
        <v>0</v>
      </c>
      <c r="W35" s="124" t="n">
        <v>0</v>
      </c>
      <c r="X35" s="46" t="n">
        <v>0</v>
      </c>
      <c r="Y35" s="46" t="n">
        <v>0</v>
      </c>
      <c r="Z35" s="46" t="n">
        <v>0</v>
      </c>
      <c r="AA35" s="124" t="n">
        <v>0</v>
      </c>
      <c r="AB35" s="124" t="n">
        <v>0</v>
      </c>
      <c r="AC35" s="46" t="n">
        <v>0</v>
      </c>
      <c r="AD35" s="124" t="n">
        <v>0</v>
      </c>
      <c r="AE35" s="46" t="n">
        <v>0</v>
      </c>
      <c r="AF35" s="46" t="n">
        <v>0</v>
      </c>
    </row>
    <row r="36" ht="20" customHeight="1" s="83">
      <c r="A36" s="41" t="inlineStr">
        <is>
          <t>大葉高島屋門市</t>
        </is>
      </c>
      <c r="B36" s="123" t="n">
        <v>0</v>
      </c>
      <c r="C36" s="123" t="n">
        <v>0</v>
      </c>
      <c r="D36" s="44" t="n">
        <v>0</v>
      </c>
      <c r="E36" s="123" t="n">
        <v>0</v>
      </c>
      <c r="F36" s="44" t="n">
        <v>0</v>
      </c>
      <c r="G36" s="44" t="n">
        <v>0</v>
      </c>
      <c r="H36" s="123" t="n">
        <v>0</v>
      </c>
      <c r="I36" s="123" t="n">
        <v>0</v>
      </c>
      <c r="J36" s="44" t="n">
        <v>0</v>
      </c>
      <c r="K36" s="123" t="n">
        <v>0</v>
      </c>
      <c r="L36" s="44" t="n">
        <v>0</v>
      </c>
      <c r="M36" s="44" t="n">
        <v>0</v>
      </c>
      <c r="N36" s="123" t="n">
        <v>0</v>
      </c>
      <c r="O36" s="123" t="n">
        <v>0</v>
      </c>
      <c r="P36" s="44" t="n">
        <v>0</v>
      </c>
      <c r="Q36" s="123" t="n">
        <v>0</v>
      </c>
      <c r="R36" s="44" t="n">
        <v>0</v>
      </c>
      <c r="S36" s="44" t="n">
        <v>0</v>
      </c>
      <c r="T36" s="123" t="n">
        <v>0</v>
      </c>
      <c r="U36" s="123" t="n">
        <v>0</v>
      </c>
      <c r="V36" s="44" t="n">
        <v>0</v>
      </c>
      <c r="W36" s="123" t="n">
        <v>0</v>
      </c>
      <c r="X36" s="44" t="n">
        <v>0</v>
      </c>
      <c r="Y36" s="44" t="n">
        <v>0</v>
      </c>
      <c r="Z36" s="44" t="n">
        <v>0</v>
      </c>
      <c r="AA36" s="123" t="n">
        <v>0</v>
      </c>
      <c r="AB36" s="123" t="n">
        <v>0</v>
      </c>
      <c r="AC36" s="44" t="n">
        <v>0</v>
      </c>
      <c r="AD36" s="123" t="n">
        <v>0</v>
      </c>
      <c r="AE36" s="44" t="n">
        <v>0</v>
      </c>
      <c r="AF36" s="44" t="n">
        <v>0</v>
      </c>
    </row>
    <row r="37" ht="20" customHeight="1" s="83">
      <c r="A37" s="41" t="inlineStr">
        <is>
          <t>羅東門市</t>
        </is>
      </c>
      <c r="B37" s="124" t="n">
        <v>0</v>
      </c>
      <c r="C37" s="124" t="n">
        <v>0</v>
      </c>
      <c r="D37" s="46" t="n">
        <v>0</v>
      </c>
      <c r="E37" s="124" t="n">
        <v>0</v>
      </c>
      <c r="F37" s="46" t="n">
        <v>0</v>
      </c>
      <c r="G37" s="46" t="n">
        <v>0</v>
      </c>
      <c r="H37" s="124" t="n">
        <v>0</v>
      </c>
      <c r="I37" s="124" t="n">
        <v>0</v>
      </c>
      <c r="J37" s="46" t="n">
        <v>0</v>
      </c>
      <c r="K37" s="124" t="n">
        <v>0</v>
      </c>
      <c r="L37" s="46" t="n">
        <v>0</v>
      </c>
      <c r="M37" s="46" t="n">
        <v>0</v>
      </c>
      <c r="N37" s="124" t="n">
        <v>0</v>
      </c>
      <c r="O37" s="124" t="n">
        <v>0</v>
      </c>
      <c r="P37" s="46" t="n">
        <v>0</v>
      </c>
      <c r="Q37" s="124" t="n">
        <v>0</v>
      </c>
      <c r="R37" s="46" t="n">
        <v>0</v>
      </c>
      <c r="S37" s="46" t="n">
        <v>0</v>
      </c>
      <c r="T37" s="124" t="n">
        <v>0</v>
      </c>
      <c r="U37" s="124" t="n">
        <v>0</v>
      </c>
      <c r="V37" s="46" t="n">
        <v>0</v>
      </c>
      <c r="W37" s="124" t="n">
        <v>0</v>
      </c>
      <c r="X37" s="46" t="n">
        <v>0</v>
      </c>
      <c r="Y37" s="46" t="n">
        <v>0</v>
      </c>
      <c r="Z37" s="46" t="n">
        <v>0</v>
      </c>
      <c r="AA37" s="124" t="n">
        <v>0</v>
      </c>
      <c r="AB37" s="124" t="n">
        <v>0</v>
      </c>
      <c r="AC37" s="46" t="n">
        <v>0</v>
      </c>
      <c r="AD37" s="124" t="n">
        <v>0</v>
      </c>
      <c r="AE37" s="46" t="n">
        <v>0</v>
      </c>
      <c r="AF37" s="46" t="n">
        <v>0</v>
      </c>
    </row>
    <row r="38" ht="20" customHeight="1" s="83">
      <c r="A38" s="47" t="inlineStr">
        <is>
          <t>Total</t>
        </is>
      </c>
      <c r="B38" s="125" t="n">
        <v>0</v>
      </c>
      <c r="C38" s="125" t="n">
        <v>0</v>
      </c>
      <c r="D38" s="49" t="n">
        <v>0</v>
      </c>
      <c r="E38" s="125" t="n">
        <v>0</v>
      </c>
      <c r="F38" s="49" t="n">
        <v>0</v>
      </c>
      <c r="G38" s="49" t="n">
        <v>0</v>
      </c>
      <c r="H38" s="125" t="n">
        <v>0</v>
      </c>
      <c r="I38" s="125" t="n">
        <v>0</v>
      </c>
      <c r="J38" s="49" t="n">
        <v>0</v>
      </c>
      <c r="K38" s="125" t="n">
        <v>0</v>
      </c>
      <c r="L38" s="49" t="n">
        <v>0</v>
      </c>
      <c r="M38" s="49" t="n">
        <v>0</v>
      </c>
      <c r="N38" s="125" t="n">
        <v>0</v>
      </c>
      <c r="O38" s="125" t="n">
        <v>0</v>
      </c>
      <c r="P38" s="49" t="n">
        <v>0</v>
      </c>
      <c r="Q38" s="125" t="n">
        <v>0</v>
      </c>
      <c r="R38" s="49" t="n">
        <v>0</v>
      </c>
      <c r="S38" s="49" t="n">
        <v>0</v>
      </c>
      <c r="T38" s="125" t="n">
        <v>0</v>
      </c>
      <c r="U38" s="125" t="n">
        <v>0</v>
      </c>
      <c r="V38" s="49" t="n">
        <v>0</v>
      </c>
      <c r="W38" s="125" t="n">
        <v>0</v>
      </c>
      <c r="X38" s="49" t="n">
        <v>0</v>
      </c>
      <c r="Y38" s="49" t="n">
        <v>0</v>
      </c>
      <c r="Z38" s="49" t="n">
        <v>0</v>
      </c>
      <c r="AA38" s="125" t="n">
        <v>0</v>
      </c>
      <c r="AB38" s="125" t="n">
        <v>0</v>
      </c>
      <c r="AC38" s="49" t="n">
        <v>0</v>
      </c>
      <c r="AD38" s="125" t="n">
        <v>0</v>
      </c>
      <c r="AE38" s="49" t="n">
        <v>0</v>
      </c>
      <c r="AF38" s="49" t="n">
        <v>0</v>
      </c>
    </row>
  </sheetData>
  <mergeCells count="1">
    <mergeCell ref="Q13:Q20"/>
  </mergeCells>
  <conditionalFormatting sqref="D4:D10">
    <cfRule type="cellIs" priority="95" operator="greaterThan" dxfId="3">
      <formula>0</formula>
    </cfRule>
    <cfRule type="cellIs" priority="96" operator="lessThan" dxfId="2">
      <formula>0</formula>
    </cfRule>
    <cfRule type="cellIs" priority="107" operator="greaterThan" dxfId="1">
      <formula>0</formula>
    </cfRule>
    <cfRule type="cellIs" priority="108" operator="lessThan" dxfId="0">
      <formula>0</formula>
    </cfRule>
  </conditionalFormatting>
  <conditionalFormatting sqref="D12 D14:D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D14:D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G4:G10">
    <cfRule type="cellIs" priority="97" operator="greaterThan" dxfId="3">
      <formula>0</formula>
    </cfRule>
    <cfRule type="cellIs" priority="98" operator="lessThan" dxfId="2">
      <formula>0</formula>
    </cfRule>
    <cfRule type="cellIs" priority="109" operator="greaterThan" dxfId="1">
      <formula>0</formula>
    </cfRule>
    <cfRule type="cellIs" priority="110" operator="lessThan" dxfId="0">
      <formula>0</formula>
    </cfRule>
  </conditionalFormatting>
  <conditionalFormatting sqref="G12 G14:G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G14:G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J4:J10 M4:M10">
    <cfRule type="cellIs" priority="99" operator="greaterThan" dxfId="3">
      <formula>0</formula>
    </cfRule>
    <cfRule type="cellIs" priority="100" operator="lessThan" dxfId="2">
      <formula>0</formula>
    </cfRule>
    <cfRule type="cellIs" priority="111" operator="greaterThan" dxfId="1">
      <formula>0</formula>
    </cfRule>
    <cfRule type="cellIs" priority="112" operator="lessThan" dxfId="0">
      <formula>0</formula>
    </cfRule>
  </conditionalFormatting>
  <conditionalFormatting sqref="J12 J14:J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J14:J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M12 M14:M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M14:M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P4:P10">
    <cfRule type="cellIs" priority="101" operator="greaterThan" dxfId="3">
      <formula>0</formula>
    </cfRule>
    <cfRule type="cellIs" priority="102" operator="lessThan" dxfId="2">
      <formula>0</formula>
    </cfRule>
    <cfRule type="cellIs" priority="113" operator="greaterThan" dxfId="1">
      <formula>0</formula>
    </cfRule>
    <cfRule type="cellIs" priority="114" operator="lessThan" dxfId="0">
      <formula>0</formula>
    </cfRule>
  </conditionalFormatting>
  <conditionalFormatting sqref="P14:P20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P12:Q12 P14:P19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S4:S9">
    <cfRule type="cellIs" priority="103" operator="greaterThan" dxfId="3">
      <formula>0</formula>
    </cfRule>
    <cfRule type="cellIs" priority="104" operator="lessThan" dxfId="2">
      <formula>0</formula>
    </cfRule>
  </conditionalFormatting>
  <conditionalFormatting sqref="S4:S10">
    <cfRule type="cellIs" priority="115" operator="greaterThan" dxfId="1">
      <formula>0</formula>
    </cfRule>
    <cfRule type="cellIs" priority="116" operator="lessThan" dxfId="0">
      <formula>0</formula>
    </cfRule>
  </conditionalFormatting>
  <conditionalFormatting sqref="S14:S20">
    <cfRule type="cellIs" priority="37" operator="greaterThan" dxfId="1">
      <formula>0</formula>
    </cfRule>
    <cfRule type="cellIs" priority="38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Y14:Y19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Y14:Y20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AA19">
    <cfRule type="cellIs" priority="15" operator="greaterThan" dxfId="1">
      <formula>0</formula>
    </cfRule>
    <cfRule type="cellIs" priority="16" operator="lessThan" dxfId="0">
      <formula>0</formula>
    </cfRule>
  </conditionalFormatting>
  <conditionalFormatting sqref="AC14:AC1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AC14:AC20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AB4:AB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AB4:AB10">
    <cfRule type="cellIs" priority="89" operator="greaterThan" dxfId="1">
      <formula>0</formula>
    </cfRule>
    <cfRule type="cellIs" priority="90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AT130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A25" sqref="A25:XFD25"/>
    </sheetView>
  </sheetViews>
  <sheetFormatPr baseColWidth="10" defaultColWidth="9" defaultRowHeight="14"/>
  <cols>
    <col width="10.796875" customWidth="1" style="83" min="1" max="1"/>
    <col width="11.796875" customWidth="1" style="83" min="2" max="2"/>
    <col width="9.3984375" customWidth="1" style="83" min="3" max="46"/>
  </cols>
  <sheetData>
    <row r="1" ht="28" customHeight="1" s="83">
      <c r="A1" s="104" t="n"/>
      <c r="B1" s="103" t="inlineStr">
        <is>
          <t>士林門市</t>
        </is>
      </c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3" t="n"/>
      <c r="AI1" s="113" t="n"/>
      <c r="AJ1" s="113" t="n"/>
      <c r="AK1" s="113" t="n"/>
      <c r="AL1" s="113" t="n"/>
      <c r="AM1" s="113" t="n"/>
      <c r="AN1" s="113" t="n"/>
      <c r="AO1" s="113" t="n"/>
      <c r="AP1" s="113" t="n"/>
      <c r="AQ1" s="113" t="n"/>
      <c r="AR1" s="113" t="n"/>
      <c r="AS1" s="113" t="n"/>
      <c r="AT1" s="114" t="n"/>
    </row>
    <row r="2" ht="28" customHeight="1" s="83">
      <c r="A2" s="78" t="n"/>
      <c r="B2" s="81" t="inlineStr">
        <is>
          <t>本週</t>
        </is>
      </c>
      <c r="C2" s="98" t="inlineStr">
        <is>
          <t>iPhone</t>
        </is>
      </c>
      <c r="D2" s="113" t="n"/>
      <c r="E2" s="113" t="n"/>
      <c r="F2" s="114" t="n"/>
      <c r="G2" s="99" t="inlineStr">
        <is>
          <t>iPad</t>
        </is>
      </c>
      <c r="H2" s="113" t="n"/>
      <c r="I2" s="113" t="n"/>
      <c r="J2" s="114" t="n"/>
      <c r="K2" s="100" t="inlineStr">
        <is>
          <t>Watch</t>
        </is>
      </c>
      <c r="L2" s="113" t="n"/>
      <c r="M2" s="113" t="n"/>
      <c r="N2" s="114" t="n"/>
      <c r="O2" s="101" t="inlineStr">
        <is>
          <t>Mac</t>
        </is>
      </c>
      <c r="P2" s="113" t="n"/>
      <c r="Q2" s="113" t="n"/>
      <c r="R2" s="114" t="n"/>
      <c r="S2" s="102" t="inlineStr">
        <is>
          <t>AirPods</t>
        </is>
      </c>
      <c r="T2" s="113" t="n"/>
      <c r="U2" s="113" t="n"/>
      <c r="V2" s="114" t="n"/>
      <c r="W2" s="98" t="inlineStr">
        <is>
          <t>iPhone 配件</t>
        </is>
      </c>
      <c r="X2" s="113" t="n"/>
      <c r="Y2" s="113" t="n"/>
      <c r="Z2" s="113" t="n"/>
      <c r="AA2" s="113" t="n"/>
      <c r="AB2" s="114" t="n"/>
      <c r="AC2" s="99" t="inlineStr">
        <is>
          <t>iPad 配件</t>
        </is>
      </c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4" t="n"/>
      <c r="AM2" s="100" t="inlineStr">
        <is>
          <t>Watch 配件</t>
        </is>
      </c>
      <c r="AN2" s="113" t="n"/>
      <c r="AO2" s="113" t="n"/>
      <c r="AP2" s="114" t="n"/>
      <c r="AQ2" s="102" t="inlineStr">
        <is>
          <t>AirPods 配件</t>
        </is>
      </c>
      <c r="AR2" s="114" t="n"/>
      <c r="AS2" s="96" t="inlineStr">
        <is>
          <t>喇叭</t>
        </is>
      </c>
      <c r="AT2" s="114" t="n"/>
    </row>
    <row r="3" ht="36" customHeight="1" s="83">
      <c r="A3" s="80" t="inlineStr">
        <is>
          <t>員工代碼</t>
        </is>
      </c>
      <c r="B3" s="52" t="inlineStr">
        <is>
          <t>員工名稱</t>
        </is>
      </c>
      <c r="C3" s="52" t="inlineStr">
        <is>
          <t>台數</t>
        </is>
      </c>
      <c r="D3" s="52" t="inlineStr">
        <is>
          <t>ACPP+</t>
        </is>
      </c>
      <c r="E3" s="52" t="inlineStr">
        <is>
          <t>SAcare</t>
        </is>
      </c>
      <c r="F3" s="52" t="inlineStr">
        <is>
          <t>合計率</t>
        </is>
      </c>
      <c r="G3" s="52" t="inlineStr">
        <is>
          <t>台數</t>
        </is>
      </c>
      <c r="H3" s="52" t="inlineStr">
        <is>
          <t>ACPP+</t>
        </is>
      </c>
      <c r="I3" s="52" t="inlineStr">
        <is>
          <t>SAcare</t>
        </is>
      </c>
      <c r="J3" s="52" t="inlineStr">
        <is>
          <t>合計率</t>
        </is>
      </c>
      <c r="K3" s="52" t="inlineStr">
        <is>
          <t>台數</t>
        </is>
      </c>
      <c r="L3" s="52" t="inlineStr">
        <is>
          <t>ACPP+</t>
        </is>
      </c>
      <c r="M3" s="52" t="inlineStr">
        <is>
          <t>SAcare</t>
        </is>
      </c>
      <c r="N3" s="52" t="inlineStr">
        <is>
          <t>合計率</t>
        </is>
      </c>
      <c r="O3" s="52" t="inlineStr">
        <is>
          <t>台數</t>
        </is>
      </c>
      <c r="P3" s="52" t="inlineStr">
        <is>
          <t>ACPP+</t>
        </is>
      </c>
      <c r="Q3" s="52" t="inlineStr">
        <is>
          <t>SAcare</t>
        </is>
      </c>
      <c r="R3" s="52" t="inlineStr">
        <is>
          <t>合計率</t>
        </is>
      </c>
      <c r="S3" s="52" t="inlineStr">
        <is>
          <t>台數</t>
        </is>
      </c>
      <c r="T3" s="52" t="inlineStr">
        <is>
          <t>ACPP+</t>
        </is>
      </c>
      <c r="U3" s="52" t="inlineStr">
        <is>
          <t>SAcare</t>
        </is>
      </c>
      <c r="V3" s="52" t="inlineStr">
        <is>
          <t>合計率</t>
        </is>
      </c>
      <c r="W3" s="52" t="inlineStr">
        <is>
          <t>保貼</t>
        </is>
      </c>
      <c r="X3" s="52" t="inlineStr">
        <is>
          <t>保護殼</t>
        </is>
      </c>
      <c r="Y3" s="52" t="inlineStr">
        <is>
          <t>鏡頭貼</t>
        </is>
      </c>
      <c r="Z3" s="52" t="inlineStr">
        <is>
          <t>保貼率</t>
        </is>
      </c>
      <c r="AA3" s="52" t="inlineStr">
        <is>
          <t>保護殼率</t>
        </is>
      </c>
      <c r="AB3" s="52" t="inlineStr">
        <is>
          <t>鏡頭貼率</t>
        </is>
      </c>
      <c r="AC3" s="52" t="inlineStr">
        <is>
          <t>原廠筆</t>
        </is>
      </c>
      <c r="AD3" s="52" t="inlineStr">
        <is>
          <t>副廠筆</t>
        </is>
      </c>
      <c r="AE3" s="52" t="inlineStr">
        <is>
          <t>保貼</t>
        </is>
      </c>
      <c r="AF3" s="52" t="inlineStr">
        <is>
          <t>保護殼</t>
        </is>
      </c>
      <c r="AG3" s="52" t="inlineStr">
        <is>
          <t>鍵盤</t>
        </is>
      </c>
      <c r="AH3" s="52" t="inlineStr">
        <is>
          <t>原廠筆率</t>
        </is>
      </c>
      <c r="AI3" s="52" t="inlineStr">
        <is>
          <t>副廠筆率</t>
        </is>
      </c>
      <c r="AJ3" s="52" t="inlineStr">
        <is>
          <t>保貼率</t>
        </is>
      </c>
      <c r="AK3" s="52" t="inlineStr">
        <is>
          <t>保護殼率</t>
        </is>
      </c>
      <c r="AL3" s="52" t="inlineStr">
        <is>
          <t>鍵盤率</t>
        </is>
      </c>
      <c r="AM3" s="52" t="inlineStr">
        <is>
          <t>保貼</t>
        </is>
      </c>
      <c r="AN3" s="52" t="inlineStr">
        <is>
          <t>錶帶</t>
        </is>
      </c>
      <c r="AO3" s="52" t="inlineStr">
        <is>
          <t>保貼率</t>
        </is>
      </c>
      <c r="AP3" s="52" t="inlineStr">
        <is>
          <t>錶帶率</t>
        </is>
      </c>
      <c r="AQ3" s="52" t="inlineStr">
        <is>
          <t>配件數</t>
        </is>
      </c>
      <c r="AR3" s="52" t="inlineStr">
        <is>
          <t>配件率</t>
        </is>
      </c>
      <c r="AS3" s="52" t="inlineStr">
        <is>
          <t>含Momax</t>
        </is>
      </c>
      <c r="AT3" s="52" t="inlineStr">
        <is>
          <t>不含Momax</t>
        </is>
      </c>
    </row>
    <row r="4" ht="17" customHeight="1" s="83">
      <c r="A4" s="53" t="n"/>
      <c r="B4" s="53" t="n"/>
      <c r="C4" s="128" t="n"/>
      <c r="D4" s="128" t="n"/>
      <c r="E4" s="128" t="n"/>
      <c r="F4" s="129" t="n"/>
      <c r="G4" s="128" t="n"/>
      <c r="H4" s="128" t="n"/>
      <c r="I4" s="128" t="n"/>
      <c r="J4" s="129" t="n"/>
      <c r="K4" s="128" t="n"/>
      <c r="L4" s="128" t="n"/>
      <c r="M4" s="128" t="n"/>
      <c r="N4" s="129" t="n"/>
      <c r="O4" s="128" t="n"/>
      <c r="P4" s="128" t="n"/>
      <c r="Q4" s="128" t="n"/>
      <c r="R4" s="129" t="n"/>
      <c r="S4" s="128" t="n"/>
      <c r="T4" s="128" t="n"/>
      <c r="U4" s="128" t="n"/>
      <c r="V4" s="129" t="n"/>
      <c r="W4" s="128" t="n"/>
      <c r="X4" s="128" t="n"/>
      <c r="Y4" s="128" t="n"/>
      <c r="Z4" s="129" t="n"/>
      <c r="AA4" s="129" t="n"/>
      <c r="AB4" s="129" t="n"/>
      <c r="AC4" s="128" t="n"/>
      <c r="AD4" s="128" t="n"/>
      <c r="AE4" s="128" t="n"/>
      <c r="AF4" s="128" t="n"/>
      <c r="AG4" s="128" t="n"/>
      <c r="AH4" s="129" t="n"/>
      <c r="AI4" s="129" t="n"/>
      <c r="AJ4" s="129" t="n"/>
      <c r="AK4" s="129" t="n"/>
      <c r="AL4" s="129" t="n"/>
      <c r="AM4" s="128" t="n"/>
      <c r="AN4" s="128" t="n"/>
      <c r="AO4" s="129" t="n"/>
      <c r="AP4" s="129" t="n"/>
      <c r="AQ4" s="128" t="n"/>
      <c r="AR4" s="129" t="n"/>
      <c r="AS4" s="128" t="n"/>
      <c r="AT4" s="128" t="n"/>
    </row>
    <row r="5" ht="17" customHeight="1" s="83">
      <c r="A5" s="53" t="n"/>
      <c r="B5" s="53" t="n"/>
      <c r="C5" s="130" t="n"/>
      <c r="D5" s="130" t="n"/>
      <c r="E5" s="130" t="n"/>
      <c r="F5" s="131" t="n"/>
      <c r="G5" s="130" t="n"/>
      <c r="H5" s="130" t="n"/>
      <c r="I5" s="130" t="n"/>
      <c r="J5" s="131" t="n"/>
      <c r="K5" s="130" t="n"/>
      <c r="L5" s="130" t="n"/>
      <c r="M5" s="130" t="n"/>
      <c r="N5" s="131" t="n"/>
      <c r="O5" s="130" t="n"/>
      <c r="P5" s="130" t="n"/>
      <c r="Q5" s="130" t="n"/>
      <c r="R5" s="131" t="n"/>
      <c r="S5" s="130" t="n"/>
      <c r="T5" s="130" t="n"/>
      <c r="U5" s="130" t="n"/>
      <c r="V5" s="131" t="n"/>
      <c r="W5" s="130" t="n"/>
      <c r="X5" s="130" t="n"/>
      <c r="Y5" s="130" t="n"/>
      <c r="Z5" s="131" t="n"/>
      <c r="AA5" s="131" t="n"/>
      <c r="AB5" s="131" t="n"/>
      <c r="AC5" s="130" t="n"/>
      <c r="AD5" s="130" t="n"/>
      <c r="AE5" s="130" t="n"/>
      <c r="AF5" s="130" t="n"/>
      <c r="AG5" s="130" t="n"/>
      <c r="AH5" s="131" t="n"/>
      <c r="AI5" s="131" t="n"/>
      <c r="AJ5" s="131" t="n"/>
      <c r="AK5" s="131" t="n"/>
      <c r="AL5" s="131" t="n"/>
      <c r="AM5" s="130" t="n"/>
      <c r="AN5" s="130" t="n"/>
      <c r="AO5" s="131" t="n"/>
      <c r="AP5" s="131" t="n"/>
      <c r="AQ5" s="130" t="n"/>
      <c r="AR5" s="131" t="n"/>
      <c r="AS5" s="130" t="n"/>
      <c r="AT5" s="130" t="n"/>
    </row>
    <row r="6" ht="17" customHeight="1" s="83">
      <c r="A6" s="53" t="n"/>
      <c r="B6" s="53" t="n"/>
      <c r="C6" s="128" t="n"/>
      <c r="D6" s="128" t="n"/>
      <c r="E6" s="128" t="n"/>
      <c r="F6" s="129" t="n"/>
      <c r="G6" s="128" t="n"/>
      <c r="H6" s="128" t="n"/>
      <c r="I6" s="128" t="n"/>
      <c r="J6" s="129" t="n"/>
      <c r="K6" s="128" t="n"/>
      <c r="L6" s="128" t="n"/>
      <c r="M6" s="128" t="n"/>
      <c r="N6" s="129" t="n"/>
      <c r="O6" s="128" t="n"/>
      <c r="P6" s="128" t="n"/>
      <c r="Q6" s="128" t="n"/>
      <c r="R6" s="129" t="n"/>
      <c r="S6" s="128" t="n"/>
      <c r="T6" s="128" t="n"/>
      <c r="U6" s="128" t="n"/>
      <c r="V6" s="129" t="n"/>
      <c r="W6" s="128" t="n"/>
      <c r="X6" s="128" t="n"/>
      <c r="Y6" s="128" t="n"/>
      <c r="Z6" s="129" t="n"/>
      <c r="AA6" s="129" t="n"/>
      <c r="AB6" s="129" t="n"/>
      <c r="AC6" s="128" t="n"/>
      <c r="AD6" s="128" t="n"/>
      <c r="AE6" s="128" t="n"/>
      <c r="AF6" s="128" t="n"/>
      <c r="AG6" s="128" t="n"/>
      <c r="AH6" s="129" t="n"/>
      <c r="AI6" s="129" t="n"/>
      <c r="AJ6" s="129" t="n"/>
      <c r="AK6" s="129" t="n"/>
      <c r="AL6" s="129" t="n"/>
      <c r="AM6" s="128" t="n"/>
      <c r="AN6" s="128" t="n"/>
      <c r="AO6" s="129" t="n"/>
      <c r="AP6" s="129" t="n"/>
      <c r="AQ6" s="128" t="n"/>
      <c r="AR6" s="129" t="n"/>
      <c r="AS6" s="128" t="n"/>
      <c r="AT6" s="128" t="n"/>
    </row>
    <row r="7" ht="17" customHeight="1" s="83">
      <c r="A7" s="53" t="n"/>
      <c r="B7" s="53" t="n"/>
      <c r="C7" s="130" t="n"/>
      <c r="D7" s="130" t="n"/>
      <c r="E7" s="130" t="n"/>
      <c r="F7" s="131" t="n"/>
      <c r="G7" s="130" t="n"/>
      <c r="H7" s="130" t="n"/>
      <c r="I7" s="130" t="n"/>
      <c r="J7" s="131" t="n"/>
      <c r="K7" s="130" t="n"/>
      <c r="L7" s="130" t="n"/>
      <c r="M7" s="130" t="n"/>
      <c r="N7" s="131" t="n"/>
      <c r="O7" s="130" t="n"/>
      <c r="P7" s="130" t="n"/>
      <c r="Q7" s="130" t="n"/>
      <c r="R7" s="131" t="n"/>
      <c r="S7" s="130" t="n"/>
      <c r="T7" s="130" t="n"/>
      <c r="U7" s="130" t="n"/>
      <c r="V7" s="131" t="n"/>
      <c r="W7" s="130" t="n"/>
      <c r="X7" s="130" t="n"/>
      <c r="Y7" s="130" t="n"/>
      <c r="Z7" s="131" t="n"/>
      <c r="AA7" s="131" t="n"/>
      <c r="AB7" s="131" t="n"/>
      <c r="AC7" s="130" t="n"/>
      <c r="AD7" s="130" t="n"/>
      <c r="AE7" s="130" t="n"/>
      <c r="AF7" s="130" t="n"/>
      <c r="AG7" s="130" t="n"/>
      <c r="AH7" s="131" t="n"/>
      <c r="AI7" s="131" t="n"/>
      <c r="AJ7" s="131" t="n"/>
      <c r="AK7" s="131" t="n"/>
      <c r="AL7" s="131" t="n"/>
      <c r="AM7" s="130" t="n"/>
      <c r="AN7" s="130" t="n"/>
      <c r="AO7" s="131" t="n"/>
      <c r="AP7" s="131" t="n"/>
      <c r="AQ7" s="130" t="n"/>
      <c r="AR7" s="131" t="n"/>
      <c r="AS7" s="130" t="n"/>
      <c r="AT7" s="130" t="n"/>
    </row>
    <row r="8" ht="17" customHeight="1" s="83">
      <c r="A8" s="53" t="n"/>
      <c r="B8" s="53" t="n"/>
      <c r="C8" s="128" t="n"/>
      <c r="D8" s="128" t="n"/>
      <c r="E8" s="128" t="n"/>
      <c r="F8" s="129" t="n"/>
      <c r="G8" s="128" t="n"/>
      <c r="H8" s="128" t="n"/>
      <c r="I8" s="128" t="n"/>
      <c r="J8" s="129" t="n"/>
      <c r="K8" s="128" t="n"/>
      <c r="L8" s="128" t="n"/>
      <c r="M8" s="128" t="n"/>
      <c r="N8" s="129" t="n"/>
      <c r="O8" s="128" t="n"/>
      <c r="P8" s="128" t="n"/>
      <c r="Q8" s="128" t="n"/>
      <c r="R8" s="129" t="n"/>
      <c r="S8" s="128" t="n"/>
      <c r="T8" s="128" t="n"/>
      <c r="U8" s="128" t="n"/>
      <c r="V8" s="129" t="n"/>
      <c r="W8" s="128" t="n"/>
      <c r="X8" s="128" t="n"/>
      <c r="Y8" s="128" t="n"/>
      <c r="Z8" s="129" t="n"/>
      <c r="AA8" s="129" t="n"/>
      <c r="AB8" s="129" t="n"/>
      <c r="AC8" s="128" t="n"/>
      <c r="AD8" s="128" t="n"/>
      <c r="AE8" s="128" t="n"/>
      <c r="AF8" s="128" t="n"/>
      <c r="AG8" s="128" t="n"/>
      <c r="AH8" s="129" t="n"/>
      <c r="AI8" s="129" t="n"/>
      <c r="AJ8" s="129" t="n"/>
      <c r="AK8" s="129" t="n"/>
      <c r="AL8" s="129" t="n"/>
      <c r="AM8" s="128" t="n"/>
      <c r="AN8" s="128" t="n"/>
      <c r="AO8" s="129" t="n"/>
      <c r="AP8" s="129" t="n"/>
      <c r="AQ8" s="128" t="n"/>
      <c r="AR8" s="129" t="n"/>
      <c r="AS8" s="128" t="n"/>
      <c r="AT8" s="128" t="n"/>
    </row>
    <row r="9" ht="17" customHeight="1" s="83">
      <c r="A9" s="53" t="n"/>
      <c r="B9" s="53" t="n"/>
      <c r="C9" s="130" t="n"/>
      <c r="D9" s="130" t="n"/>
      <c r="E9" s="130" t="n"/>
      <c r="F9" s="131" t="n"/>
      <c r="G9" s="130" t="n"/>
      <c r="H9" s="130" t="n"/>
      <c r="I9" s="130" t="n"/>
      <c r="J9" s="131" t="n"/>
      <c r="K9" s="130" t="n"/>
      <c r="L9" s="130" t="n"/>
      <c r="M9" s="130" t="n"/>
      <c r="N9" s="131" t="n"/>
      <c r="O9" s="130" t="n"/>
      <c r="P9" s="130" t="n"/>
      <c r="Q9" s="130" t="n"/>
      <c r="R9" s="131" t="n"/>
      <c r="S9" s="130" t="n"/>
      <c r="T9" s="130" t="n"/>
      <c r="U9" s="130" t="n"/>
      <c r="V9" s="131" t="n"/>
      <c r="W9" s="130" t="n"/>
      <c r="X9" s="130" t="n"/>
      <c r="Y9" s="130" t="n"/>
      <c r="Z9" s="131" t="n"/>
      <c r="AA9" s="131" t="n"/>
      <c r="AB9" s="131" t="n"/>
      <c r="AC9" s="130" t="n"/>
      <c r="AD9" s="130" t="n"/>
      <c r="AE9" s="130" t="n"/>
      <c r="AF9" s="130" t="n"/>
      <c r="AG9" s="130" t="n"/>
      <c r="AH9" s="131" t="n"/>
      <c r="AI9" s="131" t="n"/>
      <c r="AJ9" s="131" t="n"/>
      <c r="AK9" s="131" t="n"/>
      <c r="AL9" s="131" t="n"/>
      <c r="AM9" s="130" t="n"/>
      <c r="AN9" s="130" t="n"/>
      <c r="AO9" s="131" t="n"/>
      <c r="AP9" s="131" t="n"/>
      <c r="AQ9" s="130" t="n"/>
      <c r="AR9" s="131" t="n"/>
      <c r="AS9" s="130" t="n"/>
      <c r="AT9" s="130" t="n"/>
    </row>
    <row r="10" ht="18" customHeight="1" s="83">
      <c r="A10" s="47" t="n"/>
      <c r="B10" s="47" t="inlineStr">
        <is>
          <t>小計</t>
        </is>
      </c>
      <c r="C10" s="125" t="n"/>
      <c r="D10" s="125" t="n"/>
      <c r="E10" s="125" t="n"/>
      <c r="F10" s="132" t="n"/>
      <c r="G10" s="125" t="n"/>
      <c r="H10" s="125" t="n"/>
      <c r="I10" s="125" t="n"/>
      <c r="J10" s="132" t="n"/>
      <c r="K10" s="125" t="n"/>
      <c r="L10" s="125" t="n"/>
      <c r="M10" s="125" t="n"/>
      <c r="N10" s="132" t="n"/>
      <c r="O10" s="125" t="n"/>
      <c r="P10" s="125" t="n"/>
      <c r="Q10" s="125" t="n"/>
      <c r="R10" s="132" t="n"/>
      <c r="S10" s="125" t="n"/>
      <c r="T10" s="125" t="n"/>
      <c r="U10" s="125" t="n"/>
      <c r="V10" s="132" t="n"/>
      <c r="W10" s="125" t="n"/>
      <c r="X10" s="125" t="n"/>
      <c r="Y10" s="125" t="n"/>
      <c r="Z10" s="132" t="n"/>
      <c r="AA10" s="132" t="n"/>
      <c r="AB10" s="132" t="n"/>
      <c r="AC10" s="125" t="n"/>
      <c r="AD10" s="125" t="n"/>
      <c r="AE10" s="125" t="n"/>
      <c r="AF10" s="125" t="n"/>
      <c r="AG10" s="125" t="n"/>
      <c r="AH10" s="132" t="n"/>
      <c r="AI10" s="132" t="n"/>
      <c r="AJ10" s="132" t="n"/>
      <c r="AK10" s="132" t="n"/>
      <c r="AL10" s="132" t="n"/>
      <c r="AM10" s="125" t="n"/>
      <c r="AN10" s="125" t="n"/>
      <c r="AO10" s="132" t="n"/>
      <c r="AP10" s="132" t="n"/>
      <c r="AQ10" s="125" t="n"/>
      <c r="AR10" s="132" t="n"/>
      <c r="AS10" s="125" t="n"/>
      <c r="AT10" s="125" t="n"/>
    </row>
    <row r="11" ht="20" customHeight="1" s="83">
      <c r="A11" s="106" t="n"/>
      <c r="B11" s="81" t="inlineStr">
        <is>
          <t>月累積</t>
        </is>
      </c>
      <c r="C11" s="91" t="inlineStr">
        <is>
          <t>iPhone</t>
        </is>
      </c>
      <c r="D11" s="113" t="n"/>
      <c r="E11" s="113" t="n"/>
      <c r="F11" s="114" t="n"/>
      <c r="G11" s="92" t="inlineStr">
        <is>
          <t>iPad</t>
        </is>
      </c>
      <c r="H11" s="113" t="n"/>
      <c r="I11" s="113" t="n"/>
      <c r="J11" s="114" t="n"/>
      <c r="K11" s="93" t="inlineStr">
        <is>
          <t>Watch</t>
        </is>
      </c>
      <c r="L11" s="113" t="n"/>
      <c r="M11" s="113" t="n"/>
      <c r="N11" s="114" t="n"/>
      <c r="O11" s="94" t="inlineStr">
        <is>
          <t>Mac</t>
        </is>
      </c>
      <c r="P11" s="113" t="n"/>
      <c r="Q11" s="113" t="n"/>
      <c r="R11" s="114" t="n"/>
      <c r="S11" s="95" t="inlineStr">
        <is>
          <t>AirPods</t>
        </is>
      </c>
      <c r="T11" s="113" t="n"/>
      <c r="U11" s="113" t="n"/>
      <c r="V11" s="114" t="n"/>
      <c r="W11" s="91" t="inlineStr">
        <is>
          <t>iPhone 配件</t>
        </is>
      </c>
      <c r="X11" s="113" t="n"/>
      <c r="Y11" s="113" t="n"/>
      <c r="Z11" s="113" t="n"/>
      <c r="AA11" s="113" t="n"/>
      <c r="AB11" s="114" t="n"/>
      <c r="AC11" s="92" t="inlineStr">
        <is>
          <t>iPad 配件</t>
        </is>
      </c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4" t="n"/>
      <c r="AM11" s="93" t="inlineStr">
        <is>
          <t>Watch 配件</t>
        </is>
      </c>
      <c r="AN11" s="113" t="n"/>
      <c r="AO11" s="113" t="n"/>
      <c r="AP11" s="114" t="n"/>
      <c r="AQ11" s="95" t="inlineStr">
        <is>
          <t>AirPods 配件</t>
        </is>
      </c>
      <c r="AR11" s="114" t="n"/>
      <c r="AS11" s="89" t="inlineStr">
        <is>
          <t>喇叭</t>
        </is>
      </c>
      <c r="AT11" s="114" t="n"/>
    </row>
    <row r="12" ht="42" customHeight="1" s="83">
      <c r="A12" s="80" t="inlineStr">
        <is>
          <t>員工代碼</t>
        </is>
      </c>
      <c r="B12" s="60" t="inlineStr">
        <is>
          <t>員工名稱</t>
        </is>
      </c>
      <c r="C12" s="86" t="inlineStr">
        <is>
          <t>台數</t>
        </is>
      </c>
      <c r="D12" s="86" t="inlineStr">
        <is>
          <t>ACPP+</t>
        </is>
      </c>
      <c r="E12" s="86" t="inlineStr">
        <is>
          <t>SAcare</t>
        </is>
      </c>
      <c r="F12" s="86" t="inlineStr">
        <is>
          <t>合計率</t>
        </is>
      </c>
      <c r="G12" s="86" t="inlineStr">
        <is>
          <t>台數</t>
        </is>
      </c>
      <c r="H12" s="86" t="inlineStr">
        <is>
          <t>ACPP+</t>
        </is>
      </c>
      <c r="I12" s="86" t="inlineStr">
        <is>
          <t>SAcare</t>
        </is>
      </c>
      <c r="J12" s="86" t="inlineStr">
        <is>
          <t>合計率</t>
        </is>
      </c>
      <c r="K12" s="86" t="inlineStr">
        <is>
          <t>台數</t>
        </is>
      </c>
      <c r="L12" s="86" t="inlineStr">
        <is>
          <t>ACPP+</t>
        </is>
      </c>
      <c r="M12" s="86" t="inlineStr">
        <is>
          <t>SAcare</t>
        </is>
      </c>
      <c r="N12" s="86" t="inlineStr">
        <is>
          <t>合計率</t>
        </is>
      </c>
      <c r="O12" s="86" t="inlineStr">
        <is>
          <t>台數</t>
        </is>
      </c>
      <c r="P12" s="86" t="inlineStr">
        <is>
          <t>ACPP+</t>
        </is>
      </c>
      <c r="Q12" s="86" t="inlineStr">
        <is>
          <t>SAcare</t>
        </is>
      </c>
      <c r="R12" s="86" t="inlineStr">
        <is>
          <t>合計率</t>
        </is>
      </c>
      <c r="S12" s="86" t="inlineStr">
        <is>
          <t>台數</t>
        </is>
      </c>
      <c r="T12" s="86" t="inlineStr">
        <is>
          <t>ACPP+</t>
        </is>
      </c>
      <c r="U12" s="86" t="inlineStr">
        <is>
          <t>SAcare</t>
        </is>
      </c>
      <c r="V12" s="86" t="inlineStr">
        <is>
          <t>合計率</t>
        </is>
      </c>
      <c r="W12" s="86" t="inlineStr">
        <is>
          <t>保貼</t>
        </is>
      </c>
      <c r="X12" s="86" t="inlineStr">
        <is>
          <t>保護殼</t>
        </is>
      </c>
      <c r="Y12" s="86" t="inlineStr">
        <is>
          <t>鏡頭貼</t>
        </is>
      </c>
      <c r="Z12" s="86" t="inlineStr">
        <is>
          <t>保貼率</t>
        </is>
      </c>
      <c r="AA12" s="86" t="inlineStr">
        <is>
          <t>保護殼率</t>
        </is>
      </c>
      <c r="AB12" s="86" t="inlineStr">
        <is>
          <t>鏡頭貼率</t>
        </is>
      </c>
      <c r="AC12" s="86" t="inlineStr">
        <is>
          <t>原廠筆</t>
        </is>
      </c>
      <c r="AD12" s="86" t="inlineStr">
        <is>
          <t>副廠筆</t>
        </is>
      </c>
      <c r="AE12" s="86" t="inlineStr">
        <is>
          <t>保貼</t>
        </is>
      </c>
      <c r="AF12" s="86" t="inlineStr">
        <is>
          <t>保護殼</t>
        </is>
      </c>
      <c r="AG12" s="86" t="inlineStr">
        <is>
          <t>鍵盤</t>
        </is>
      </c>
      <c r="AH12" s="86" t="inlineStr">
        <is>
          <t>原廠筆率</t>
        </is>
      </c>
      <c r="AI12" s="86" t="inlineStr">
        <is>
          <t>副廠筆率</t>
        </is>
      </c>
      <c r="AJ12" s="86" t="inlineStr">
        <is>
          <t>保貼率</t>
        </is>
      </c>
      <c r="AK12" s="86" t="inlineStr">
        <is>
          <t>保護殼率</t>
        </is>
      </c>
      <c r="AL12" s="86" t="inlineStr">
        <is>
          <t>鍵盤率</t>
        </is>
      </c>
      <c r="AM12" s="86" t="inlineStr">
        <is>
          <t>保貼</t>
        </is>
      </c>
      <c r="AN12" s="86" t="inlineStr">
        <is>
          <t>錶帶</t>
        </is>
      </c>
      <c r="AO12" s="86" t="inlineStr">
        <is>
          <t>保貼率</t>
        </is>
      </c>
      <c r="AP12" s="86" t="inlineStr">
        <is>
          <t>錶帶率</t>
        </is>
      </c>
      <c r="AQ12" s="86" t="inlineStr">
        <is>
          <t>配件數</t>
        </is>
      </c>
      <c r="AR12" s="86" t="inlineStr">
        <is>
          <t>配件率</t>
        </is>
      </c>
      <c r="AS12" s="86" t="inlineStr">
        <is>
          <t>含Momax</t>
        </is>
      </c>
      <c r="AT12" s="86" t="inlineStr">
        <is>
          <t>不含Momax</t>
        </is>
      </c>
    </row>
    <row r="13" ht="17" customHeight="1" s="83">
      <c r="A13" s="53" t="n"/>
      <c r="B13" s="53" t="n"/>
      <c r="C13" s="128" t="n"/>
      <c r="D13" s="128" t="n"/>
      <c r="E13" s="128" t="n"/>
      <c r="F13" s="129" t="n"/>
      <c r="G13" s="128" t="n"/>
      <c r="H13" s="128" t="n"/>
      <c r="I13" s="128" t="n"/>
      <c r="J13" s="129" t="n"/>
      <c r="K13" s="128" t="n"/>
      <c r="L13" s="128" t="n"/>
      <c r="M13" s="128" t="n"/>
      <c r="N13" s="129" t="n"/>
      <c r="O13" s="128" t="n"/>
      <c r="P13" s="128" t="n"/>
      <c r="Q13" s="128" t="n"/>
      <c r="R13" s="129" t="n"/>
      <c r="S13" s="128" t="n"/>
      <c r="T13" s="128" t="n"/>
      <c r="U13" s="128" t="n"/>
      <c r="V13" s="129" t="n"/>
      <c r="W13" s="128" t="n"/>
      <c r="X13" s="128" t="n"/>
      <c r="Y13" s="128" t="n"/>
      <c r="Z13" s="129" t="n"/>
      <c r="AA13" s="129" t="n"/>
      <c r="AB13" s="129" t="n"/>
      <c r="AC13" s="128" t="n"/>
      <c r="AD13" s="128" t="n"/>
      <c r="AE13" s="128" t="n"/>
      <c r="AF13" s="128" t="n"/>
      <c r="AG13" s="128" t="n"/>
      <c r="AH13" s="129" t="n"/>
      <c r="AI13" s="129" t="n"/>
      <c r="AJ13" s="129" t="n"/>
      <c r="AK13" s="129" t="n"/>
      <c r="AL13" s="129" t="n"/>
      <c r="AM13" s="128" t="n"/>
      <c r="AN13" s="128" t="n"/>
      <c r="AO13" s="129" t="n"/>
      <c r="AP13" s="129" t="n"/>
      <c r="AQ13" s="128" t="n"/>
      <c r="AR13" s="129" t="n"/>
      <c r="AS13" s="128" t="n"/>
      <c r="AT13" s="128" t="n"/>
    </row>
    <row r="14" ht="17" customHeight="1" s="83">
      <c r="A14" s="53" t="n"/>
      <c r="B14" s="53" t="n"/>
      <c r="C14" s="130" t="n"/>
      <c r="D14" s="130" t="n"/>
      <c r="E14" s="130" t="n"/>
      <c r="F14" s="131" t="n"/>
      <c r="G14" s="130" t="n"/>
      <c r="H14" s="130" t="n"/>
      <c r="I14" s="130" t="n"/>
      <c r="J14" s="131" t="n"/>
      <c r="K14" s="130" t="n"/>
      <c r="L14" s="130" t="n"/>
      <c r="M14" s="130" t="n"/>
      <c r="N14" s="131" t="n"/>
      <c r="O14" s="130" t="n"/>
      <c r="P14" s="130" t="n"/>
      <c r="Q14" s="130" t="n"/>
      <c r="R14" s="131" t="n"/>
      <c r="S14" s="130" t="n"/>
      <c r="T14" s="130" t="n"/>
      <c r="U14" s="130" t="n"/>
      <c r="V14" s="131" t="n"/>
      <c r="W14" s="130" t="n"/>
      <c r="X14" s="130" t="n"/>
      <c r="Y14" s="130" t="n"/>
      <c r="Z14" s="131" t="n"/>
      <c r="AA14" s="131" t="n"/>
      <c r="AB14" s="131" t="n"/>
      <c r="AC14" s="130" t="n"/>
      <c r="AD14" s="130" t="n"/>
      <c r="AE14" s="130" t="n"/>
      <c r="AF14" s="130" t="n"/>
      <c r="AG14" s="130" t="n"/>
      <c r="AH14" s="131" t="n"/>
      <c r="AI14" s="131" t="n"/>
      <c r="AJ14" s="131" t="n"/>
      <c r="AK14" s="131" t="n"/>
      <c r="AL14" s="131" t="n"/>
      <c r="AM14" s="130" t="n"/>
      <c r="AN14" s="130" t="n"/>
      <c r="AO14" s="131" t="n"/>
      <c r="AP14" s="131" t="n"/>
      <c r="AQ14" s="130" t="n"/>
      <c r="AR14" s="131" t="n"/>
      <c r="AS14" s="130" t="n"/>
      <c r="AT14" s="130" t="n"/>
    </row>
    <row r="15" ht="17" customHeight="1" s="83">
      <c r="A15" s="53" t="n"/>
      <c r="B15" s="53" t="n"/>
      <c r="C15" s="128" t="n"/>
      <c r="D15" s="128" t="n"/>
      <c r="E15" s="128" t="n"/>
      <c r="F15" s="129" t="n"/>
      <c r="G15" s="128" t="n"/>
      <c r="H15" s="128" t="n"/>
      <c r="I15" s="128" t="n"/>
      <c r="J15" s="129" t="n"/>
      <c r="K15" s="128" t="n"/>
      <c r="L15" s="128" t="n"/>
      <c r="M15" s="128" t="n"/>
      <c r="N15" s="129" t="n"/>
      <c r="O15" s="128" t="n"/>
      <c r="P15" s="128" t="n"/>
      <c r="Q15" s="128" t="n"/>
      <c r="R15" s="129" t="n"/>
      <c r="S15" s="128" t="n"/>
      <c r="T15" s="128" t="n"/>
      <c r="U15" s="128" t="n"/>
      <c r="V15" s="129" t="n"/>
      <c r="W15" s="128" t="n"/>
      <c r="X15" s="128" t="n"/>
      <c r="Y15" s="128" t="n"/>
      <c r="Z15" s="129" t="n"/>
      <c r="AA15" s="129" t="n"/>
      <c r="AB15" s="129" t="n"/>
      <c r="AC15" s="128" t="n"/>
      <c r="AD15" s="128" t="n"/>
      <c r="AE15" s="128" t="n"/>
      <c r="AF15" s="128" t="n"/>
      <c r="AG15" s="128" t="n"/>
      <c r="AH15" s="129" t="n"/>
      <c r="AI15" s="129" t="n"/>
      <c r="AJ15" s="129" t="n"/>
      <c r="AK15" s="129" t="n"/>
      <c r="AL15" s="129" t="n"/>
      <c r="AM15" s="128" t="n"/>
      <c r="AN15" s="128" t="n"/>
      <c r="AO15" s="129" t="n"/>
      <c r="AP15" s="129" t="n"/>
      <c r="AQ15" s="128" t="n"/>
      <c r="AR15" s="129" t="n"/>
      <c r="AS15" s="128" t="n"/>
      <c r="AT15" s="128" t="n"/>
    </row>
    <row r="16" ht="17" customHeight="1" s="83">
      <c r="A16" s="53" t="n"/>
      <c r="B16" s="53" t="n"/>
      <c r="C16" s="130" t="n"/>
      <c r="D16" s="130" t="n"/>
      <c r="E16" s="130" t="n"/>
      <c r="F16" s="131" t="n"/>
      <c r="G16" s="130" t="n"/>
      <c r="H16" s="130" t="n"/>
      <c r="I16" s="130" t="n"/>
      <c r="J16" s="131" t="n"/>
      <c r="K16" s="130" t="n"/>
      <c r="L16" s="130" t="n"/>
      <c r="M16" s="130" t="n"/>
      <c r="N16" s="131" t="n"/>
      <c r="O16" s="130" t="n"/>
      <c r="P16" s="130" t="n"/>
      <c r="Q16" s="130" t="n"/>
      <c r="R16" s="131" t="n"/>
      <c r="S16" s="130" t="n"/>
      <c r="T16" s="130" t="n"/>
      <c r="U16" s="130" t="n"/>
      <c r="V16" s="131" t="n"/>
      <c r="W16" s="130" t="n"/>
      <c r="X16" s="130" t="n"/>
      <c r="Y16" s="130" t="n"/>
      <c r="Z16" s="131" t="n"/>
      <c r="AA16" s="131" t="n"/>
      <c r="AB16" s="131" t="n"/>
      <c r="AC16" s="130" t="n"/>
      <c r="AD16" s="130" t="n"/>
      <c r="AE16" s="130" t="n"/>
      <c r="AF16" s="130" t="n"/>
      <c r="AG16" s="130" t="n"/>
      <c r="AH16" s="131" t="n"/>
      <c r="AI16" s="131" t="n"/>
      <c r="AJ16" s="131" t="n"/>
      <c r="AK16" s="131" t="n"/>
      <c r="AL16" s="131" t="n"/>
      <c r="AM16" s="130" t="n"/>
      <c r="AN16" s="130" t="n"/>
      <c r="AO16" s="131" t="n"/>
      <c r="AP16" s="131" t="n"/>
      <c r="AQ16" s="130" t="n"/>
      <c r="AR16" s="131" t="n"/>
      <c r="AS16" s="130" t="n"/>
      <c r="AT16" s="130" t="n"/>
    </row>
    <row r="17" ht="17" customHeight="1" s="83">
      <c r="A17" s="53" t="n"/>
      <c r="B17" s="53" t="n"/>
      <c r="C17" s="128" t="n"/>
      <c r="D17" s="128" t="n"/>
      <c r="E17" s="128" t="n"/>
      <c r="F17" s="129" t="n"/>
      <c r="G17" s="128" t="n"/>
      <c r="H17" s="128" t="n"/>
      <c r="I17" s="128" t="n"/>
      <c r="J17" s="129" t="n"/>
      <c r="K17" s="128" t="n"/>
      <c r="L17" s="128" t="n"/>
      <c r="M17" s="128" t="n"/>
      <c r="N17" s="129" t="n"/>
      <c r="O17" s="128" t="n"/>
      <c r="P17" s="128" t="n"/>
      <c r="Q17" s="128" t="n"/>
      <c r="R17" s="129" t="n"/>
      <c r="S17" s="128" t="n"/>
      <c r="T17" s="128" t="n"/>
      <c r="U17" s="128" t="n"/>
      <c r="V17" s="129" t="n"/>
      <c r="W17" s="128" t="n"/>
      <c r="X17" s="128" t="n"/>
      <c r="Y17" s="128" t="n"/>
      <c r="Z17" s="129" t="n"/>
      <c r="AA17" s="129" t="n"/>
      <c r="AB17" s="129" t="n"/>
      <c r="AC17" s="128" t="n"/>
      <c r="AD17" s="128" t="n"/>
      <c r="AE17" s="128" t="n"/>
      <c r="AF17" s="128" t="n"/>
      <c r="AG17" s="128" t="n"/>
      <c r="AH17" s="129" t="n"/>
      <c r="AI17" s="129" t="n"/>
      <c r="AJ17" s="129" t="n"/>
      <c r="AK17" s="129" t="n"/>
      <c r="AL17" s="129" t="n"/>
      <c r="AM17" s="128" t="n"/>
      <c r="AN17" s="128" t="n"/>
      <c r="AO17" s="129" t="n"/>
      <c r="AP17" s="129" t="n"/>
      <c r="AQ17" s="128" t="n"/>
      <c r="AR17" s="129" t="n"/>
      <c r="AS17" s="128" t="n"/>
      <c r="AT17" s="128" t="n"/>
    </row>
    <row r="18" ht="17" customHeight="1" s="83">
      <c r="A18" s="53" t="n"/>
      <c r="B18" s="53" t="n"/>
      <c r="C18" s="130" t="n"/>
      <c r="D18" s="130" t="n"/>
      <c r="E18" s="130" t="n"/>
      <c r="F18" s="131" t="n"/>
      <c r="G18" s="130" t="n"/>
      <c r="H18" s="130" t="n"/>
      <c r="I18" s="130" t="n"/>
      <c r="J18" s="131" t="n"/>
      <c r="K18" s="130" t="n"/>
      <c r="L18" s="130" t="n"/>
      <c r="M18" s="130" t="n"/>
      <c r="N18" s="131" t="n"/>
      <c r="O18" s="130" t="n"/>
      <c r="P18" s="130" t="n"/>
      <c r="Q18" s="130" t="n"/>
      <c r="R18" s="131" t="n"/>
      <c r="S18" s="130" t="n"/>
      <c r="T18" s="130" t="n"/>
      <c r="U18" s="130" t="n"/>
      <c r="V18" s="131" t="n"/>
      <c r="W18" s="130" t="n"/>
      <c r="X18" s="130" t="n"/>
      <c r="Y18" s="130" t="n"/>
      <c r="Z18" s="131" t="n"/>
      <c r="AA18" s="131" t="n"/>
      <c r="AB18" s="131" t="n"/>
      <c r="AC18" s="130" t="n"/>
      <c r="AD18" s="130" t="n"/>
      <c r="AE18" s="130" t="n"/>
      <c r="AF18" s="130" t="n"/>
      <c r="AG18" s="130" t="n"/>
      <c r="AH18" s="131" t="n"/>
      <c r="AI18" s="131" t="n"/>
      <c r="AJ18" s="131" t="n"/>
      <c r="AK18" s="131" t="n"/>
      <c r="AL18" s="131" t="n"/>
      <c r="AM18" s="130" t="n"/>
      <c r="AN18" s="130" t="n"/>
      <c r="AO18" s="131" t="n"/>
      <c r="AP18" s="131" t="n"/>
      <c r="AQ18" s="130" t="n"/>
      <c r="AR18" s="131" t="n"/>
      <c r="AS18" s="130" t="n"/>
      <c r="AT18" s="130" t="n"/>
    </row>
    <row r="19" ht="17" customHeight="1" s="83">
      <c r="A19" s="53" t="n"/>
      <c r="B19" s="53" t="n"/>
      <c r="C19" s="128" t="n"/>
      <c r="D19" s="128" t="n"/>
      <c r="E19" s="128" t="n"/>
      <c r="F19" s="129" t="n"/>
      <c r="G19" s="128" t="n"/>
      <c r="H19" s="128" t="n"/>
      <c r="I19" s="128" t="n"/>
      <c r="J19" s="129" t="n"/>
      <c r="K19" s="128" t="n"/>
      <c r="L19" s="128" t="n"/>
      <c r="M19" s="128" t="n"/>
      <c r="N19" s="129" t="n"/>
      <c r="O19" s="128" t="n"/>
      <c r="P19" s="128" t="n"/>
      <c r="Q19" s="128" t="n"/>
      <c r="R19" s="129" t="n"/>
      <c r="S19" s="128" t="n"/>
      <c r="T19" s="128" t="n"/>
      <c r="U19" s="128" t="n"/>
      <c r="V19" s="129" t="n"/>
      <c r="W19" s="128" t="n"/>
      <c r="X19" s="128" t="n"/>
      <c r="Y19" s="128" t="n"/>
      <c r="Z19" s="129" t="n"/>
      <c r="AA19" s="129" t="n"/>
      <c r="AB19" s="129" t="n"/>
      <c r="AC19" s="128" t="n"/>
      <c r="AD19" s="128" t="n"/>
      <c r="AE19" s="128" t="n"/>
      <c r="AF19" s="128" t="n"/>
      <c r="AG19" s="128" t="n"/>
      <c r="AH19" s="129" t="n"/>
      <c r="AI19" s="129" t="n"/>
      <c r="AJ19" s="129" t="n"/>
      <c r="AK19" s="129" t="n"/>
      <c r="AL19" s="129" t="n"/>
      <c r="AM19" s="128" t="n"/>
      <c r="AN19" s="128" t="n"/>
      <c r="AO19" s="129" t="n"/>
      <c r="AP19" s="129" t="n"/>
      <c r="AQ19" s="128" t="n"/>
      <c r="AR19" s="129" t="n"/>
      <c r="AS19" s="128" t="n"/>
      <c r="AT19" s="128" t="n"/>
    </row>
    <row r="20" ht="18" customHeight="1" s="83">
      <c r="A20" s="47" t="n"/>
      <c r="B20" s="47" t="inlineStr">
        <is>
          <t>小計</t>
        </is>
      </c>
      <c r="C20" s="125" t="n"/>
      <c r="D20" s="125" t="n"/>
      <c r="E20" s="125" t="n"/>
      <c r="F20" s="132" t="n"/>
      <c r="G20" s="125" t="n"/>
      <c r="H20" s="125" t="n"/>
      <c r="I20" s="125" t="n"/>
      <c r="J20" s="132" t="n"/>
      <c r="K20" s="125" t="n"/>
      <c r="L20" s="125" t="n"/>
      <c r="M20" s="125" t="n"/>
      <c r="N20" s="132" t="n"/>
      <c r="O20" s="125" t="n"/>
      <c r="P20" s="125" t="n"/>
      <c r="Q20" s="125" t="n"/>
      <c r="R20" s="132" t="n"/>
      <c r="S20" s="125" t="n"/>
      <c r="T20" s="125" t="n"/>
      <c r="U20" s="125" t="n"/>
      <c r="V20" s="132" t="n"/>
      <c r="W20" s="125" t="n"/>
      <c r="X20" s="125" t="n"/>
      <c r="Y20" s="125" t="n"/>
      <c r="Z20" s="132" t="n"/>
      <c r="AA20" s="132" t="n"/>
      <c r="AB20" s="132" t="n"/>
      <c r="AC20" s="125" t="n"/>
      <c r="AD20" s="125" t="n"/>
      <c r="AE20" s="125" t="n"/>
      <c r="AF20" s="125" t="n"/>
      <c r="AG20" s="125" t="n"/>
      <c r="AH20" s="132" t="n"/>
      <c r="AI20" s="132" t="n"/>
      <c r="AJ20" s="132" t="n"/>
      <c r="AK20" s="132" t="n"/>
      <c r="AL20" s="132" t="n"/>
      <c r="AM20" s="125" t="n"/>
      <c r="AN20" s="125" t="n"/>
      <c r="AO20" s="132" t="n"/>
      <c r="AP20" s="132" t="n"/>
      <c r="AQ20" s="125" t="n"/>
      <c r="AR20" s="132" t="n"/>
      <c r="AS20" s="125" t="n"/>
      <c r="AT20" s="125" t="n"/>
    </row>
    <row r="21">
      <c r="A21" s="107" t="n"/>
      <c r="B21" s="107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P21" s="90" t="n"/>
      <c r="Q21" s="90" t="n"/>
      <c r="R21" s="90" t="n"/>
      <c r="S21" s="90" t="n"/>
      <c r="T21" s="90" t="n"/>
      <c r="U21" s="90" t="n"/>
      <c r="V21" s="90" t="n"/>
      <c r="W21" s="90" t="n"/>
      <c r="X21" s="90" t="n"/>
      <c r="Y21" s="90" t="n"/>
      <c r="Z21" s="90" t="n"/>
      <c r="AA21" s="90" t="n"/>
      <c r="AB21" s="90" t="n"/>
      <c r="AC21" s="90" t="n"/>
      <c r="AD21" s="90" t="n"/>
      <c r="AE21" s="90" t="n"/>
      <c r="AF21" s="90" t="n"/>
      <c r="AG21" s="90" t="n"/>
      <c r="AH21" s="90" t="n"/>
      <c r="AI21" s="90" t="n"/>
      <c r="AJ21" s="90" t="n"/>
      <c r="AK21" s="90" t="n"/>
      <c r="AL21" s="90" t="n"/>
      <c r="AM21" s="90" t="n"/>
      <c r="AN21" s="90" t="n"/>
      <c r="AO21" s="90" t="n"/>
      <c r="AP21" s="90" t="n"/>
      <c r="AQ21" s="90" t="n"/>
      <c r="AR21" s="90" t="n"/>
      <c r="AS21" s="90" t="n"/>
      <c r="AT21" s="90" t="n"/>
    </row>
    <row r="22">
      <c r="A22" s="107" t="n"/>
      <c r="B22" s="107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0" t="n"/>
      <c r="S22" s="90" t="n"/>
      <c r="T22" s="90" t="n"/>
      <c r="U22" s="90" t="n"/>
      <c r="V22" s="90" t="n"/>
      <c r="W22" s="90" t="n"/>
      <c r="X22" s="90" t="n"/>
      <c r="Y22" s="90" t="n"/>
      <c r="Z22" s="90" t="n"/>
      <c r="AA22" s="90" t="n"/>
      <c r="AB22" s="90" t="n"/>
      <c r="AC22" s="90" t="n"/>
      <c r="AD22" s="90" t="n"/>
      <c r="AE22" s="90" t="n"/>
      <c r="AF22" s="90" t="n"/>
      <c r="AG22" s="90" t="n"/>
      <c r="AH22" s="90" t="n"/>
      <c r="AI22" s="90" t="n"/>
      <c r="AJ22" s="90" t="n"/>
      <c r="AK22" s="90" t="n"/>
      <c r="AL22" s="90" t="n"/>
      <c r="AM22" s="90" t="n"/>
      <c r="AN22" s="90" t="n"/>
      <c r="AO22" s="90" t="n"/>
      <c r="AP22" s="90" t="n"/>
      <c r="AQ22" s="90" t="n"/>
      <c r="AR22" s="90" t="n"/>
      <c r="AS22" s="90" t="n"/>
      <c r="AT22" s="90" t="n"/>
    </row>
    <row r="23" ht="26" customHeight="1" s="83">
      <c r="A23" s="103" t="n"/>
      <c r="B23" s="103" t="inlineStr">
        <is>
          <t>微風門市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  <c r="AA23" s="113" t="n"/>
      <c r="AB23" s="113" t="n"/>
      <c r="AC23" s="113" t="n"/>
      <c r="AD23" s="113" t="n"/>
      <c r="AE23" s="113" t="n"/>
      <c r="AF23" s="113" t="n"/>
      <c r="AG23" s="113" t="n"/>
      <c r="AH23" s="113" t="n"/>
      <c r="AI23" s="113" t="n"/>
      <c r="AJ23" s="113" t="n"/>
      <c r="AK23" s="113" t="n"/>
      <c r="AL23" s="113" t="n"/>
      <c r="AM23" s="113" t="n"/>
      <c r="AN23" s="113" t="n"/>
      <c r="AO23" s="113" t="n"/>
      <c r="AP23" s="113" t="n"/>
      <c r="AQ23" s="113" t="n"/>
      <c r="AR23" s="113" t="n"/>
      <c r="AS23" s="113" t="n"/>
      <c r="AT23" s="114" t="n"/>
    </row>
    <row r="24" ht="20" customHeight="1" s="83">
      <c r="A24" s="106" t="n"/>
      <c r="B24" s="81" t="inlineStr">
        <is>
          <t>本週</t>
        </is>
      </c>
      <c r="C24" s="91" t="inlineStr">
        <is>
          <t>iPhone</t>
        </is>
      </c>
      <c r="D24" s="113" t="n"/>
      <c r="E24" s="113" t="n"/>
      <c r="F24" s="114" t="n"/>
      <c r="G24" s="92" t="inlineStr">
        <is>
          <t>iPad</t>
        </is>
      </c>
      <c r="H24" s="113" t="n"/>
      <c r="I24" s="113" t="n"/>
      <c r="J24" s="114" t="n"/>
      <c r="K24" s="93" t="inlineStr">
        <is>
          <t>Watch</t>
        </is>
      </c>
      <c r="L24" s="113" t="n"/>
      <c r="M24" s="113" t="n"/>
      <c r="N24" s="114" t="n"/>
      <c r="O24" s="94" t="inlineStr">
        <is>
          <t>Mac</t>
        </is>
      </c>
      <c r="P24" s="113" t="n"/>
      <c r="Q24" s="113" t="n"/>
      <c r="R24" s="114" t="n"/>
      <c r="S24" s="95" t="inlineStr">
        <is>
          <t>AirPods</t>
        </is>
      </c>
      <c r="T24" s="113" t="n"/>
      <c r="U24" s="113" t="n"/>
      <c r="V24" s="114" t="n"/>
      <c r="W24" s="91" t="inlineStr">
        <is>
          <t>iPhone 配件</t>
        </is>
      </c>
      <c r="X24" s="113" t="n"/>
      <c r="Y24" s="113" t="n"/>
      <c r="Z24" s="113" t="n"/>
      <c r="AA24" s="113" t="n"/>
      <c r="AB24" s="114" t="n"/>
      <c r="AC24" s="92" t="inlineStr">
        <is>
          <t>iPad 配件</t>
        </is>
      </c>
      <c r="AD24" s="113" t="n"/>
      <c r="AE24" s="113" t="n"/>
      <c r="AF24" s="113" t="n"/>
      <c r="AG24" s="113" t="n"/>
      <c r="AH24" s="113" t="n"/>
      <c r="AI24" s="113" t="n"/>
      <c r="AJ24" s="113" t="n"/>
      <c r="AK24" s="113" t="n"/>
      <c r="AL24" s="114" t="n"/>
      <c r="AM24" s="93" t="inlineStr">
        <is>
          <t>Watch 配件</t>
        </is>
      </c>
      <c r="AN24" s="113" t="n"/>
      <c r="AO24" s="113" t="n"/>
      <c r="AP24" s="114" t="n"/>
      <c r="AQ24" s="95" t="inlineStr">
        <is>
          <t>AirPods 配件</t>
        </is>
      </c>
      <c r="AR24" s="114" t="n"/>
      <c r="AS24" s="89" t="inlineStr">
        <is>
          <t>喇叭</t>
        </is>
      </c>
      <c r="AT24" s="114" t="n"/>
    </row>
    <row r="25" ht="42" customHeight="1" s="83">
      <c r="A25" s="80" t="inlineStr">
        <is>
          <t>員工代碼</t>
        </is>
      </c>
      <c r="B25" s="60" t="inlineStr">
        <is>
          <t>員工名稱</t>
        </is>
      </c>
      <c r="C25" s="86" t="inlineStr">
        <is>
          <t>台數</t>
        </is>
      </c>
      <c r="D25" s="86" t="inlineStr">
        <is>
          <t>ACPP+</t>
        </is>
      </c>
      <c r="E25" s="86" t="inlineStr">
        <is>
          <t>SAcare</t>
        </is>
      </c>
      <c r="F25" s="86" t="inlineStr">
        <is>
          <t>合計率</t>
        </is>
      </c>
      <c r="G25" s="86" t="inlineStr">
        <is>
          <t>台數</t>
        </is>
      </c>
      <c r="H25" s="86" t="inlineStr">
        <is>
          <t>ACPP+</t>
        </is>
      </c>
      <c r="I25" s="86" t="inlineStr">
        <is>
          <t>SAcare</t>
        </is>
      </c>
      <c r="J25" s="86" t="inlineStr">
        <is>
          <t>合計率</t>
        </is>
      </c>
      <c r="K25" s="86" t="inlineStr">
        <is>
          <t>台數</t>
        </is>
      </c>
      <c r="L25" s="86" t="inlineStr">
        <is>
          <t>ACPP+</t>
        </is>
      </c>
      <c r="M25" s="86" t="inlineStr">
        <is>
          <t>SAcare</t>
        </is>
      </c>
      <c r="N25" s="86" t="inlineStr">
        <is>
          <t>合計率</t>
        </is>
      </c>
      <c r="O25" s="86" t="inlineStr">
        <is>
          <t>台數</t>
        </is>
      </c>
      <c r="P25" s="86" t="inlineStr">
        <is>
          <t>ACPP+</t>
        </is>
      </c>
      <c r="Q25" s="86" t="inlineStr">
        <is>
          <t>SAcare</t>
        </is>
      </c>
      <c r="R25" s="86" t="inlineStr">
        <is>
          <t>合計率</t>
        </is>
      </c>
      <c r="S25" s="86" t="inlineStr">
        <is>
          <t>台數</t>
        </is>
      </c>
      <c r="T25" s="86" t="inlineStr">
        <is>
          <t>ACPP+</t>
        </is>
      </c>
      <c r="U25" s="86" t="inlineStr">
        <is>
          <t>SAcare</t>
        </is>
      </c>
      <c r="V25" s="86" t="inlineStr">
        <is>
          <t>合計率</t>
        </is>
      </c>
      <c r="W25" s="86" t="inlineStr">
        <is>
          <t>保貼</t>
        </is>
      </c>
      <c r="X25" s="86" t="inlineStr">
        <is>
          <t>保護殼</t>
        </is>
      </c>
      <c r="Y25" s="86" t="inlineStr">
        <is>
          <t>鏡頭貼</t>
        </is>
      </c>
      <c r="Z25" s="86" t="inlineStr">
        <is>
          <t>保貼率</t>
        </is>
      </c>
      <c r="AA25" s="86" t="inlineStr">
        <is>
          <t>保護殼率</t>
        </is>
      </c>
      <c r="AB25" s="86" t="inlineStr">
        <is>
          <t>鏡頭貼率</t>
        </is>
      </c>
      <c r="AC25" s="86" t="inlineStr">
        <is>
          <t>原廠筆</t>
        </is>
      </c>
      <c r="AD25" s="86" t="inlineStr">
        <is>
          <t>副廠筆</t>
        </is>
      </c>
      <c r="AE25" s="86" t="inlineStr">
        <is>
          <t>保貼</t>
        </is>
      </c>
      <c r="AF25" s="86" t="inlineStr">
        <is>
          <t>保護殼</t>
        </is>
      </c>
      <c r="AG25" s="86" t="inlineStr">
        <is>
          <t>鍵盤</t>
        </is>
      </c>
      <c r="AH25" s="86" t="inlineStr">
        <is>
          <t>原廠筆率</t>
        </is>
      </c>
      <c r="AI25" s="86" t="inlineStr">
        <is>
          <t>副廠筆率</t>
        </is>
      </c>
      <c r="AJ25" s="86" t="inlineStr">
        <is>
          <t>保貼率</t>
        </is>
      </c>
      <c r="AK25" s="86" t="inlineStr">
        <is>
          <t>保護殼率</t>
        </is>
      </c>
      <c r="AL25" s="86" t="inlineStr">
        <is>
          <t>鍵盤率</t>
        </is>
      </c>
      <c r="AM25" s="86" t="inlineStr">
        <is>
          <t>保貼</t>
        </is>
      </c>
      <c r="AN25" s="86" t="inlineStr">
        <is>
          <t>錶帶</t>
        </is>
      </c>
      <c r="AO25" s="86" t="inlineStr">
        <is>
          <t>保貼率</t>
        </is>
      </c>
      <c r="AP25" s="86" t="inlineStr">
        <is>
          <t>錶帶率</t>
        </is>
      </c>
      <c r="AQ25" s="86" t="inlineStr">
        <is>
          <t>配件數</t>
        </is>
      </c>
      <c r="AR25" s="86" t="inlineStr">
        <is>
          <t>配件率</t>
        </is>
      </c>
      <c r="AS25" s="86" t="inlineStr">
        <is>
          <t>含Momax</t>
        </is>
      </c>
      <c r="AT25" s="86" t="inlineStr">
        <is>
          <t>不含Momax</t>
        </is>
      </c>
    </row>
    <row r="26" ht="17" customHeight="1" s="83">
      <c r="A26" s="53" t="n"/>
      <c r="B26" s="53" t="n"/>
      <c r="C26" s="128" t="n"/>
      <c r="D26" s="128" t="n"/>
      <c r="E26" s="128" t="n"/>
      <c r="F26" s="129" t="n"/>
      <c r="G26" s="128" t="n"/>
      <c r="H26" s="128" t="n"/>
      <c r="I26" s="128" t="n"/>
      <c r="J26" s="129" t="n"/>
      <c r="K26" s="128" t="n"/>
      <c r="L26" s="128" t="n"/>
      <c r="M26" s="128" t="n"/>
      <c r="N26" s="129" t="n"/>
      <c r="O26" s="128" t="n"/>
      <c r="P26" s="128" t="n"/>
      <c r="Q26" s="128" t="n"/>
      <c r="R26" s="129" t="n"/>
      <c r="S26" s="128" t="n"/>
      <c r="T26" s="128" t="n"/>
      <c r="U26" s="128" t="n"/>
      <c r="V26" s="129" t="n"/>
      <c r="W26" s="128" t="n"/>
      <c r="X26" s="128" t="n"/>
      <c r="Y26" s="128" t="n"/>
      <c r="Z26" s="129" t="n"/>
      <c r="AA26" s="129" t="n"/>
      <c r="AB26" s="129" t="n"/>
      <c r="AC26" s="128" t="n"/>
      <c r="AD26" s="128" t="n"/>
      <c r="AE26" s="128" t="n"/>
      <c r="AF26" s="128" t="n"/>
      <c r="AG26" s="128" t="n"/>
      <c r="AH26" s="129" t="n"/>
      <c r="AI26" s="129" t="n"/>
      <c r="AJ26" s="129" t="n"/>
      <c r="AK26" s="129" t="n"/>
      <c r="AL26" s="129" t="n"/>
      <c r="AM26" s="128" t="n"/>
      <c r="AN26" s="128" t="n"/>
      <c r="AO26" s="129" t="n"/>
      <c r="AP26" s="129" t="n"/>
      <c r="AQ26" s="128" t="n"/>
      <c r="AR26" s="129" t="n"/>
      <c r="AS26" s="128" t="n"/>
      <c r="AT26" s="128" t="n"/>
    </row>
    <row r="27" ht="17" customHeight="1" s="83">
      <c r="A27" s="53" t="n"/>
      <c r="B27" s="53" t="n"/>
      <c r="C27" s="130" t="n"/>
      <c r="D27" s="130" t="n"/>
      <c r="E27" s="130" t="n"/>
      <c r="F27" s="131" t="n"/>
      <c r="G27" s="130" t="n"/>
      <c r="H27" s="130" t="n"/>
      <c r="I27" s="130" t="n"/>
      <c r="J27" s="131" t="n"/>
      <c r="K27" s="130" t="n"/>
      <c r="L27" s="130" t="n"/>
      <c r="M27" s="130" t="n"/>
      <c r="N27" s="131" t="n"/>
      <c r="O27" s="130" t="n"/>
      <c r="P27" s="130" t="n"/>
      <c r="Q27" s="130" t="n"/>
      <c r="R27" s="131" t="n"/>
      <c r="S27" s="130" t="n"/>
      <c r="T27" s="130" t="n"/>
      <c r="U27" s="130" t="n"/>
      <c r="V27" s="131" t="n"/>
      <c r="W27" s="130" t="n"/>
      <c r="X27" s="130" t="n"/>
      <c r="Y27" s="130" t="n"/>
      <c r="Z27" s="131" t="n"/>
      <c r="AA27" s="131" t="n"/>
      <c r="AB27" s="131" t="n"/>
      <c r="AC27" s="130" t="n"/>
      <c r="AD27" s="130" t="n"/>
      <c r="AE27" s="130" t="n"/>
      <c r="AF27" s="130" t="n"/>
      <c r="AG27" s="130" t="n"/>
      <c r="AH27" s="131" t="n"/>
      <c r="AI27" s="131" t="n"/>
      <c r="AJ27" s="131" t="n"/>
      <c r="AK27" s="131" t="n"/>
      <c r="AL27" s="131" t="n"/>
      <c r="AM27" s="130" t="n"/>
      <c r="AN27" s="130" t="n"/>
      <c r="AO27" s="131" t="n"/>
      <c r="AP27" s="131" t="n"/>
      <c r="AQ27" s="130" t="n"/>
      <c r="AR27" s="131" t="n"/>
      <c r="AS27" s="130" t="n"/>
      <c r="AT27" s="130" t="n"/>
    </row>
    <row r="28" ht="17" customHeight="1" s="83">
      <c r="A28" s="53" t="n"/>
      <c r="B28" s="53" t="n"/>
      <c r="C28" s="128" t="n"/>
      <c r="D28" s="128" t="n"/>
      <c r="E28" s="128" t="n"/>
      <c r="F28" s="129" t="n"/>
      <c r="G28" s="128" t="n"/>
      <c r="H28" s="128" t="n"/>
      <c r="I28" s="128" t="n"/>
      <c r="J28" s="129" t="n"/>
      <c r="K28" s="128" t="n"/>
      <c r="L28" s="128" t="n"/>
      <c r="M28" s="128" t="n"/>
      <c r="N28" s="129" t="n"/>
      <c r="O28" s="128" t="n"/>
      <c r="P28" s="128" t="n"/>
      <c r="Q28" s="128" t="n"/>
      <c r="R28" s="129" t="n"/>
      <c r="S28" s="128" t="n"/>
      <c r="T28" s="128" t="n"/>
      <c r="U28" s="128" t="n"/>
      <c r="V28" s="129" t="n"/>
      <c r="W28" s="128" t="n"/>
      <c r="X28" s="128" t="n"/>
      <c r="Y28" s="128" t="n"/>
      <c r="Z28" s="129" t="n"/>
      <c r="AA28" s="129" t="n"/>
      <c r="AB28" s="129" t="n"/>
      <c r="AC28" s="128" t="n"/>
      <c r="AD28" s="128" t="n"/>
      <c r="AE28" s="128" t="n"/>
      <c r="AF28" s="128" t="n"/>
      <c r="AG28" s="128" t="n"/>
      <c r="AH28" s="129" t="n"/>
      <c r="AI28" s="129" t="n"/>
      <c r="AJ28" s="129" t="n"/>
      <c r="AK28" s="129" t="n"/>
      <c r="AL28" s="129" t="n"/>
      <c r="AM28" s="128" t="n"/>
      <c r="AN28" s="128" t="n"/>
      <c r="AO28" s="129" t="n"/>
      <c r="AP28" s="129" t="n"/>
      <c r="AQ28" s="128" t="n"/>
      <c r="AR28" s="129" t="n"/>
      <c r="AS28" s="128" t="n"/>
      <c r="AT28" s="128" t="n"/>
    </row>
    <row r="29" ht="17" customHeight="1" s="83">
      <c r="A29" s="53" t="n"/>
      <c r="B29" s="53" t="n"/>
      <c r="C29" s="130" t="n"/>
      <c r="D29" s="130" t="n"/>
      <c r="E29" s="130" t="n"/>
      <c r="F29" s="131" t="n"/>
      <c r="G29" s="130" t="n"/>
      <c r="H29" s="130" t="n"/>
      <c r="I29" s="130" t="n"/>
      <c r="J29" s="131" t="n"/>
      <c r="K29" s="130" t="n"/>
      <c r="L29" s="130" t="n"/>
      <c r="M29" s="130" t="n"/>
      <c r="N29" s="131" t="n"/>
      <c r="O29" s="130" t="n"/>
      <c r="P29" s="130" t="n"/>
      <c r="Q29" s="130" t="n"/>
      <c r="R29" s="131" t="n"/>
      <c r="S29" s="130" t="n"/>
      <c r="T29" s="130" t="n"/>
      <c r="U29" s="130" t="n"/>
      <c r="V29" s="131" t="n"/>
      <c r="W29" s="130" t="n"/>
      <c r="X29" s="130" t="n"/>
      <c r="Y29" s="130" t="n"/>
      <c r="Z29" s="131" t="n"/>
      <c r="AA29" s="131" t="n"/>
      <c r="AB29" s="131" t="n"/>
      <c r="AC29" s="130" t="n"/>
      <c r="AD29" s="130" t="n"/>
      <c r="AE29" s="130" t="n"/>
      <c r="AF29" s="130" t="n"/>
      <c r="AG29" s="130" t="n"/>
      <c r="AH29" s="131" t="n"/>
      <c r="AI29" s="131" t="n"/>
      <c r="AJ29" s="131" t="n"/>
      <c r="AK29" s="131" t="n"/>
      <c r="AL29" s="131" t="n"/>
      <c r="AM29" s="130" t="n"/>
      <c r="AN29" s="130" t="n"/>
      <c r="AO29" s="131" t="n"/>
      <c r="AP29" s="131" t="n"/>
      <c r="AQ29" s="130" t="n"/>
      <c r="AR29" s="131" t="n"/>
      <c r="AS29" s="130" t="n"/>
      <c r="AT29" s="130" t="n"/>
    </row>
    <row r="30" ht="17" customHeight="1" s="83">
      <c r="A30" s="53" t="n"/>
      <c r="B30" s="53" t="n"/>
      <c r="C30" s="128" t="n"/>
      <c r="D30" s="128" t="n"/>
      <c r="E30" s="128" t="n"/>
      <c r="F30" s="129" t="n"/>
      <c r="G30" s="128" t="n"/>
      <c r="H30" s="128" t="n"/>
      <c r="I30" s="128" t="n"/>
      <c r="J30" s="129" t="n"/>
      <c r="K30" s="128" t="n"/>
      <c r="L30" s="128" t="n"/>
      <c r="M30" s="128" t="n"/>
      <c r="N30" s="129" t="n"/>
      <c r="O30" s="128" t="n"/>
      <c r="P30" s="128" t="n"/>
      <c r="Q30" s="128" t="n"/>
      <c r="R30" s="129" t="n"/>
      <c r="S30" s="128" t="n"/>
      <c r="T30" s="128" t="n"/>
      <c r="U30" s="128" t="n"/>
      <c r="V30" s="129" t="n"/>
      <c r="W30" s="128" t="n"/>
      <c r="X30" s="128" t="n"/>
      <c r="Y30" s="128" t="n"/>
      <c r="Z30" s="129" t="n"/>
      <c r="AA30" s="129" t="n"/>
      <c r="AB30" s="129" t="n"/>
      <c r="AC30" s="128" t="n"/>
      <c r="AD30" s="128" t="n"/>
      <c r="AE30" s="128" t="n"/>
      <c r="AF30" s="128" t="n"/>
      <c r="AG30" s="128" t="n"/>
      <c r="AH30" s="129" t="n"/>
      <c r="AI30" s="129" t="n"/>
      <c r="AJ30" s="129" t="n"/>
      <c r="AK30" s="129" t="n"/>
      <c r="AL30" s="129" t="n"/>
      <c r="AM30" s="128" t="n"/>
      <c r="AN30" s="128" t="n"/>
      <c r="AO30" s="129" t="n"/>
      <c r="AP30" s="129" t="n"/>
      <c r="AQ30" s="128" t="n"/>
      <c r="AR30" s="129" t="n"/>
      <c r="AS30" s="128" t="n"/>
      <c r="AT30" s="128" t="n"/>
    </row>
    <row r="31" ht="18" customHeight="1" s="83">
      <c r="A31" s="47" t="n"/>
      <c r="B31" s="47" t="inlineStr">
        <is>
          <t>小計</t>
        </is>
      </c>
      <c r="C31" s="125" t="n"/>
      <c r="D31" s="125" t="n"/>
      <c r="E31" s="125" t="n"/>
      <c r="F31" s="132" t="n"/>
      <c r="G31" s="125" t="n"/>
      <c r="H31" s="125" t="n"/>
      <c r="I31" s="125" t="n"/>
      <c r="J31" s="132" t="n"/>
      <c r="K31" s="125" t="n"/>
      <c r="L31" s="125" t="n"/>
      <c r="M31" s="125" t="n"/>
      <c r="N31" s="132" t="n"/>
      <c r="O31" s="125" t="n"/>
      <c r="P31" s="125" t="n"/>
      <c r="Q31" s="125" t="n"/>
      <c r="R31" s="132" t="n"/>
      <c r="S31" s="125" t="n"/>
      <c r="T31" s="125" t="n"/>
      <c r="U31" s="125" t="n"/>
      <c r="V31" s="132" t="n"/>
      <c r="W31" s="125" t="n"/>
      <c r="X31" s="125" t="n"/>
      <c r="Y31" s="125" t="n"/>
      <c r="Z31" s="132" t="n"/>
      <c r="AA31" s="132" t="n"/>
      <c r="AB31" s="132" t="n"/>
      <c r="AC31" s="125" t="n"/>
      <c r="AD31" s="125" t="n"/>
      <c r="AE31" s="125" t="n"/>
      <c r="AF31" s="125" t="n"/>
      <c r="AG31" s="125" t="n"/>
      <c r="AH31" s="132" t="n"/>
      <c r="AI31" s="132" t="n"/>
      <c r="AJ31" s="132" t="n"/>
      <c r="AK31" s="132" t="n"/>
      <c r="AL31" s="132" t="n"/>
      <c r="AM31" s="125" t="n"/>
      <c r="AN31" s="125" t="n"/>
      <c r="AO31" s="132" t="n"/>
      <c r="AP31" s="132" t="n"/>
      <c r="AQ31" s="125" t="n"/>
      <c r="AR31" s="132" t="n"/>
      <c r="AS31" s="125" t="n"/>
      <c r="AT31" s="125" t="n"/>
    </row>
    <row r="32" ht="20" customHeight="1" s="83">
      <c r="A32" s="106" t="n"/>
      <c r="B32" s="81" t="inlineStr">
        <is>
          <t>月累積</t>
        </is>
      </c>
      <c r="C32" s="91" t="inlineStr">
        <is>
          <t>iPhone</t>
        </is>
      </c>
      <c r="D32" s="113" t="n"/>
      <c r="E32" s="113" t="n"/>
      <c r="F32" s="114" t="n"/>
      <c r="G32" s="92" t="inlineStr">
        <is>
          <t>iPad</t>
        </is>
      </c>
      <c r="H32" s="113" t="n"/>
      <c r="I32" s="113" t="n"/>
      <c r="J32" s="114" t="n"/>
      <c r="K32" s="93" t="inlineStr">
        <is>
          <t>Watch</t>
        </is>
      </c>
      <c r="L32" s="113" t="n"/>
      <c r="M32" s="113" t="n"/>
      <c r="N32" s="114" t="n"/>
      <c r="O32" s="94" t="inlineStr">
        <is>
          <t>Mac</t>
        </is>
      </c>
      <c r="P32" s="113" t="n"/>
      <c r="Q32" s="113" t="n"/>
      <c r="R32" s="114" t="n"/>
      <c r="S32" s="95" t="inlineStr">
        <is>
          <t>AirPods</t>
        </is>
      </c>
      <c r="T32" s="113" t="n"/>
      <c r="U32" s="113" t="n"/>
      <c r="V32" s="114" t="n"/>
      <c r="W32" s="91" t="inlineStr">
        <is>
          <t>iPhone 配件</t>
        </is>
      </c>
      <c r="X32" s="113" t="n"/>
      <c r="Y32" s="113" t="n"/>
      <c r="Z32" s="113" t="n"/>
      <c r="AA32" s="113" t="n"/>
      <c r="AB32" s="114" t="n"/>
      <c r="AC32" s="92" t="inlineStr">
        <is>
          <t>iPad 配件</t>
        </is>
      </c>
      <c r="AD32" s="113" t="n"/>
      <c r="AE32" s="113" t="n"/>
      <c r="AF32" s="113" t="n"/>
      <c r="AG32" s="113" t="n"/>
      <c r="AH32" s="113" t="n"/>
      <c r="AI32" s="113" t="n"/>
      <c r="AJ32" s="113" t="n"/>
      <c r="AK32" s="113" t="n"/>
      <c r="AL32" s="114" t="n"/>
      <c r="AM32" s="93" t="inlineStr">
        <is>
          <t>Watch 配件</t>
        </is>
      </c>
      <c r="AN32" s="113" t="n"/>
      <c r="AO32" s="113" t="n"/>
      <c r="AP32" s="114" t="n"/>
      <c r="AQ32" s="95" t="inlineStr">
        <is>
          <t>AirPods 配件</t>
        </is>
      </c>
      <c r="AR32" s="114" t="n"/>
      <c r="AS32" s="89" t="inlineStr">
        <is>
          <t>喇叭</t>
        </is>
      </c>
      <c r="AT32" s="114" t="n"/>
    </row>
    <row r="33" ht="42" customHeight="1" s="83">
      <c r="A33" s="80" t="inlineStr">
        <is>
          <t>員工代碼</t>
        </is>
      </c>
      <c r="B33" s="60" t="inlineStr">
        <is>
          <t>員工名稱</t>
        </is>
      </c>
      <c r="C33" s="86" t="inlineStr">
        <is>
          <t>台數</t>
        </is>
      </c>
      <c r="D33" s="86" t="inlineStr">
        <is>
          <t>ACPP+</t>
        </is>
      </c>
      <c r="E33" s="86" t="inlineStr">
        <is>
          <t>SAcare</t>
        </is>
      </c>
      <c r="F33" s="86" t="inlineStr">
        <is>
          <t>合計率</t>
        </is>
      </c>
      <c r="G33" s="86" t="inlineStr">
        <is>
          <t>台數</t>
        </is>
      </c>
      <c r="H33" s="86" t="inlineStr">
        <is>
          <t>ACPP+</t>
        </is>
      </c>
      <c r="I33" s="86" t="inlineStr">
        <is>
          <t>SAcare</t>
        </is>
      </c>
      <c r="J33" s="86" t="inlineStr">
        <is>
          <t>合計率</t>
        </is>
      </c>
      <c r="K33" s="86" t="inlineStr">
        <is>
          <t>台數</t>
        </is>
      </c>
      <c r="L33" s="86" t="inlineStr">
        <is>
          <t>ACPP+</t>
        </is>
      </c>
      <c r="M33" s="86" t="inlineStr">
        <is>
          <t>SAcare</t>
        </is>
      </c>
      <c r="N33" s="86" t="inlineStr">
        <is>
          <t>合計率</t>
        </is>
      </c>
      <c r="O33" s="86" t="inlineStr">
        <is>
          <t>台數</t>
        </is>
      </c>
      <c r="P33" s="86" t="inlineStr">
        <is>
          <t>ACPP+</t>
        </is>
      </c>
      <c r="Q33" s="86" t="inlineStr">
        <is>
          <t>SAcare</t>
        </is>
      </c>
      <c r="R33" s="86" t="inlineStr">
        <is>
          <t>合計率</t>
        </is>
      </c>
      <c r="S33" s="86" t="inlineStr">
        <is>
          <t>台數</t>
        </is>
      </c>
      <c r="T33" s="86" t="inlineStr">
        <is>
          <t>ACPP+</t>
        </is>
      </c>
      <c r="U33" s="86" t="inlineStr">
        <is>
          <t>SAcare</t>
        </is>
      </c>
      <c r="V33" s="86" t="inlineStr">
        <is>
          <t>合計率</t>
        </is>
      </c>
      <c r="W33" s="86" t="inlineStr">
        <is>
          <t>保貼</t>
        </is>
      </c>
      <c r="X33" s="86" t="inlineStr">
        <is>
          <t>保護殼</t>
        </is>
      </c>
      <c r="Y33" s="86" t="inlineStr">
        <is>
          <t>鏡頭貼</t>
        </is>
      </c>
      <c r="Z33" s="86" t="inlineStr">
        <is>
          <t>保貼率</t>
        </is>
      </c>
      <c r="AA33" s="86" t="inlineStr">
        <is>
          <t>保護殼率</t>
        </is>
      </c>
      <c r="AB33" s="86" t="inlineStr">
        <is>
          <t>鏡頭貼率</t>
        </is>
      </c>
      <c r="AC33" s="86" t="inlineStr">
        <is>
          <t>原廠筆</t>
        </is>
      </c>
      <c r="AD33" s="86" t="inlineStr">
        <is>
          <t>副廠筆</t>
        </is>
      </c>
      <c r="AE33" s="86" t="inlineStr">
        <is>
          <t>保貼</t>
        </is>
      </c>
      <c r="AF33" s="86" t="inlineStr">
        <is>
          <t>保護殼</t>
        </is>
      </c>
      <c r="AG33" s="86" t="inlineStr">
        <is>
          <t>鍵盤</t>
        </is>
      </c>
      <c r="AH33" s="86" t="inlineStr">
        <is>
          <t>原廠筆率</t>
        </is>
      </c>
      <c r="AI33" s="86" t="inlineStr">
        <is>
          <t>副廠筆率</t>
        </is>
      </c>
      <c r="AJ33" s="86" t="inlineStr">
        <is>
          <t>保貼率</t>
        </is>
      </c>
      <c r="AK33" s="86" t="inlineStr">
        <is>
          <t>保護殼率</t>
        </is>
      </c>
      <c r="AL33" s="86" t="inlineStr">
        <is>
          <t>鍵盤率</t>
        </is>
      </c>
      <c r="AM33" s="86" t="inlineStr">
        <is>
          <t>保貼</t>
        </is>
      </c>
      <c r="AN33" s="86" t="inlineStr">
        <is>
          <t>錶帶</t>
        </is>
      </c>
      <c r="AO33" s="86" t="inlineStr">
        <is>
          <t>保貼率</t>
        </is>
      </c>
      <c r="AP33" s="86" t="inlineStr">
        <is>
          <t>錶帶率</t>
        </is>
      </c>
      <c r="AQ33" s="86" t="inlineStr">
        <is>
          <t>配件數</t>
        </is>
      </c>
      <c r="AR33" s="86" t="inlineStr">
        <is>
          <t>配件率</t>
        </is>
      </c>
      <c r="AS33" s="86" t="inlineStr">
        <is>
          <t>含Momax</t>
        </is>
      </c>
      <c r="AT33" s="86" t="inlineStr">
        <is>
          <t>不含Momax</t>
        </is>
      </c>
    </row>
    <row r="34" ht="17" customHeight="1" s="83">
      <c r="A34" s="53" t="n"/>
      <c r="B34" s="53" t="n"/>
      <c r="C34" s="128" t="n"/>
      <c r="D34" s="128" t="n"/>
      <c r="E34" s="128" t="n"/>
      <c r="F34" s="129" t="n"/>
      <c r="G34" s="128" t="n"/>
      <c r="H34" s="128" t="n"/>
      <c r="I34" s="128" t="n"/>
      <c r="J34" s="129" t="n"/>
      <c r="K34" s="128" t="n"/>
      <c r="L34" s="128" t="n"/>
      <c r="M34" s="128" t="n"/>
      <c r="N34" s="129" t="n"/>
      <c r="O34" s="128" t="n"/>
      <c r="P34" s="128" t="n"/>
      <c r="Q34" s="128" t="n"/>
      <c r="R34" s="129" t="n"/>
      <c r="S34" s="128" t="n"/>
      <c r="T34" s="128" t="n"/>
      <c r="U34" s="128" t="n"/>
      <c r="V34" s="129" t="n"/>
      <c r="W34" s="128" t="n"/>
      <c r="X34" s="128" t="n"/>
      <c r="Y34" s="128" t="n"/>
      <c r="Z34" s="129" t="n"/>
      <c r="AA34" s="129" t="n"/>
      <c r="AB34" s="129" t="n"/>
      <c r="AC34" s="128" t="n"/>
      <c r="AD34" s="128" t="n"/>
      <c r="AE34" s="128" t="n"/>
      <c r="AF34" s="128" t="n"/>
      <c r="AG34" s="128" t="n"/>
      <c r="AH34" s="129" t="n"/>
      <c r="AI34" s="129" t="n"/>
      <c r="AJ34" s="129" t="n"/>
      <c r="AK34" s="129" t="n"/>
      <c r="AL34" s="129" t="n"/>
      <c r="AM34" s="128" t="n"/>
      <c r="AN34" s="128" t="n"/>
      <c r="AO34" s="129" t="n"/>
      <c r="AP34" s="129" t="n"/>
      <c r="AQ34" s="128" t="n"/>
      <c r="AR34" s="129" t="n"/>
      <c r="AS34" s="128" t="n"/>
      <c r="AT34" s="128" t="n"/>
    </row>
    <row r="35" ht="17" customHeight="1" s="83">
      <c r="A35" s="53" t="n"/>
      <c r="B35" s="53" t="n"/>
      <c r="C35" s="130" t="n"/>
      <c r="D35" s="130" t="n"/>
      <c r="E35" s="130" t="n"/>
      <c r="F35" s="131" t="n"/>
      <c r="G35" s="130" t="n"/>
      <c r="H35" s="130" t="n"/>
      <c r="I35" s="130" t="n"/>
      <c r="J35" s="131" t="n"/>
      <c r="K35" s="130" t="n"/>
      <c r="L35" s="130" t="n"/>
      <c r="M35" s="130" t="n"/>
      <c r="N35" s="131" t="n"/>
      <c r="O35" s="130" t="n"/>
      <c r="P35" s="130" t="n"/>
      <c r="Q35" s="130" t="n"/>
      <c r="R35" s="131" t="n"/>
      <c r="S35" s="130" t="n"/>
      <c r="T35" s="130" t="n"/>
      <c r="U35" s="130" t="n"/>
      <c r="V35" s="131" t="n"/>
      <c r="W35" s="130" t="n"/>
      <c r="X35" s="130" t="n"/>
      <c r="Y35" s="130" t="n"/>
      <c r="Z35" s="131" t="n"/>
      <c r="AA35" s="131" t="n"/>
      <c r="AB35" s="131" t="n"/>
      <c r="AC35" s="130" t="n"/>
      <c r="AD35" s="130" t="n"/>
      <c r="AE35" s="130" t="n"/>
      <c r="AF35" s="130" t="n"/>
      <c r="AG35" s="130" t="n"/>
      <c r="AH35" s="131" t="n"/>
      <c r="AI35" s="131" t="n"/>
      <c r="AJ35" s="131" t="n"/>
      <c r="AK35" s="131" t="n"/>
      <c r="AL35" s="131" t="n"/>
      <c r="AM35" s="130" t="n"/>
      <c r="AN35" s="130" t="n"/>
      <c r="AO35" s="131" t="n"/>
      <c r="AP35" s="131" t="n"/>
      <c r="AQ35" s="130" t="n"/>
      <c r="AR35" s="131" t="n"/>
      <c r="AS35" s="130" t="n"/>
      <c r="AT35" s="130" t="n"/>
    </row>
    <row r="36" ht="17" customHeight="1" s="83">
      <c r="A36" s="53" t="n"/>
      <c r="B36" s="53" t="n"/>
      <c r="C36" s="128" t="n"/>
      <c r="D36" s="128" t="n"/>
      <c r="E36" s="128" t="n"/>
      <c r="F36" s="129" t="n"/>
      <c r="G36" s="128" t="n"/>
      <c r="H36" s="128" t="n"/>
      <c r="I36" s="128" t="n"/>
      <c r="J36" s="129" t="n"/>
      <c r="K36" s="128" t="n"/>
      <c r="L36" s="128" t="n"/>
      <c r="M36" s="128" t="n"/>
      <c r="N36" s="129" t="n"/>
      <c r="O36" s="128" t="n"/>
      <c r="P36" s="128" t="n"/>
      <c r="Q36" s="128" t="n"/>
      <c r="R36" s="129" t="n"/>
      <c r="S36" s="128" t="n"/>
      <c r="T36" s="128" t="n"/>
      <c r="U36" s="128" t="n"/>
      <c r="V36" s="129" t="n"/>
      <c r="W36" s="128" t="n"/>
      <c r="X36" s="128" t="n"/>
      <c r="Y36" s="128" t="n"/>
      <c r="Z36" s="129" t="n"/>
      <c r="AA36" s="129" t="n"/>
      <c r="AB36" s="129" t="n"/>
      <c r="AC36" s="128" t="n"/>
      <c r="AD36" s="128" t="n"/>
      <c r="AE36" s="128" t="n"/>
      <c r="AF36" s="128" t="n"/>
      <c r="AG36" s="128" t="n"/>
      <c r="AH36" s="129" t="n"/>
      <c r="AI36" s="129" t="n"/>
      <c r="AJ36" s="129" t="n"/>
      <c r="AK36" s="129" t="n"/>
      <c r="AL36" s="129" t="n"/>
      <c r="AM36" s="128" t="n"/>
      <c r="AN36" s="128" t="n"/>
      <c r="AO36" s="129" t="n"/>
      <c r="AP36" s="129" t="n"/>
      <c r="AQ36" s="128" t="n"/>
      <c r="AR36" s="129" t="n"/>
      <c r="AS36" s="128" t="n"/>
      <c r="AT36" s="128" t="n"/>
    </row>
    <row r="37" ht="17" customHeight="1" s="83">
      <c r="A37" s="53" t="n"/>
      <c r="B37" s="53" t="n"/>
      <c r="C37" s="130" t="n"/>
      <c r="D37" s="130" t="n"/>
      <c r="E37" s="130" t="n"/>
      <c r="F37" s="131" t="n"/>
      <c r="G37" s="130" t="n"/>
      <c r="H37" s="130" t="n"/>
      <c r="I37" s="130" t="n"/>
      <c r="J37" s="131" t="n"/>
      <c r="K37" s="130" t="n"/>
      <c r="L37" s="130" t="n"/>
      <c r="M37" s="130" t="n"/>
      <c r="N37" s="131" t="n"/>
      <c r="O37" s="130" t="n"/>
      <c r="P37" s="130" t="n"/>
      <c r="Q37" s="130" t="n"/>
      <c r="R37" s="131" t="n"/>
      <c r="S37" s="130" t="n"/>
      <c r="T37" s="130" t="n"/>
      <c r="U37" s="130" t="n"/>
      <c r="V37" s="131" t="n"/>
      <c r="W37" s="130" t="n"/>
      <c r="X37" s="130" t="n"/>
      <c r="Y37" s="130" t="n"/>
      <c r="Z37" s="131" t="n"/>
      <c r="AA37" s="131" t="n"/>
      <c r="AB37" s="131" t="n"/>
      <c r="AC37" s="130" t="n"/>
      <c r="AD37" s="130" t="n"/>
      <c r="AE37" s="130" t="n"/>
      <c r="AF37" s="130" t="n"/>
      <c r="AG37" s="130" t="n"/>
      <c r="AH37" s="131" t="n"/>
      <c r="AI37" s="131" t="n"/>
      <c r="AJ37" s="131" t="n"/>
      <c r="AK37" s="131" t="n"/>
      <c r="AL37" s="131" t="n"/>
      <c r="AM37" s="130" t="n"/>
      <c r="AN37" s="130" t="n"/>
      <c r="AO37" s="131" t="n"/>
      <c r="AP37" s="131" t="n"/>
      <c r="AQ37" s="130" t="n"/>
      <c r="AR37" s="131" t="n"/>
      <c r="AS37" s="130" t="n"/>
      <c r="AT37" s="130" t="n"/>
    </row>
    <row r="38" ht="17" customHeight="1" s="83">
      <c r="A38" s="53" t="n"/>
      <c r="B38" s="53" t="n"/>
      <c r="C38" s="128" t="n"/>
      <c r="D38" s="128" t="n"/>
      <c r="E38" s="128" t="n"/>
      <c r="F38" s="129" t="n"/>
      <c r="G38" s="128" t="n"/>
      <c r="H38" s="128" t="n"/>
      <c r="I38" s="128" t="n"/>
      <c r="J38" s="129" t="n"/>
      <c r="K38" s="128" t="n"/>
      <c r="L38" s="128" t="n"/>
      <c r="M38" s="128" t="n"/>
      <c r="N38" s="129" t="n"/>
      <c r="O38" s="128" t="n"/>
      <c r="P38" s="128" t="n"/>
      <c r="Q38" s="128" t="n"/>
      <c r="R38" s="129" t="n"/>
      <c r="S38" s="128" t="n"/>
      <c r="T38" s="128" t="n"/>
      <c r="U38" s="128" t="n"/>
      <c r="V38" s="129" t="n"/>
      <c r="W38" s="128" t="n"/>
      <c r="X38" s="128" t="n"/>
      <c r="Y38" s="128" t="n"/>
      <c r="Z38" s="129" t="n"/>
      <c r="AA38" s="129" t="n"/>
      <c r="AB38" s="129" t="n"/>
      <c r="AC38" s="128" t="n"/>
      <c r="AD38" s="128" t="n"/>
      <c r="AE38" s="128" t="n"/>
      <c r="AF38" s="128" t="n"/>
      <c r="AG38" s="128" t="n"/>
      <c r="AH38" s="129" t="n"/>
      <c r="AI38" s="129" t="n"/>
      <c r="AJ38" s="129" t="n"/>
      <c r="AK38" s="129" t="n"/>
      <c r="AL38" s="129" t="n"/>
      <c r="AM38" s="128" t="n"/>
      <c r="AN38" s="128" t="n"/>
      <c r="AO38" s="129" t="n"/>
      <c r="AP38" s="129" t="n"/>
      <c r="AQ38" s="128" t="n"/>
      <c r="AR38" s="129" t="n"/>
      <c r="AS38" s="128" t="n"/>
      <c r="AT38" s="128" t="n"/>
    </row>
    <row r="39" ht="17" customHeight="1" s="83">
      <c r="A39" s="53" t="n"/>
      <c r="B39" s="53" t="n"/>
      <c r="C39" s="130" t="n"/>
      <c r="D39" s="130" t="n"/>
      <c r="E39" s="130" t="n"/>
      <c r="F39" s="131" t="n"/>
      <c r="G39" s="130" t="n"/>
      <c r="H39" s="130" t="n"/>
      <c r="I39" s="130" t="n"/>
      <c r="J39" s="131" t="n"/>
      <c r="K39" s="130" t="n"/>
      <c r="L39" s="130" t="n"/>
      <c r="M39" s="130" t="n"/>
      <c r="N39" s="131" t="n"/>
      <c r="O39" s="130" t="n"/>
      <c r="P39" s="130" t="n"/>
      <c r="Q39" s="130" t="n"/>
      <c r="R39" s="131" t="n"/>
      <c r="S39" s="130" t="n"/>
      <c r="T39" s="130" t="n"/>
      <c r="U39" s="130" t="n"/>
      <c r="V39" s="131" t="n"/>
      <c r="W39" s="130" t="n"/>
      <c r="X39" s="130" t="n"/>
      <c r="Y39" s="130" t="n"/>
      <c r="Z39" s="131" t="n"/>
      <c r="AA39" s="131" t="n"/>
      <c r="AB39" s="131" t="n"/>
      <c r="AC39" s="130" t="n"/>
      <c r="AD39" s="130" t="n"/>
      <c r="AE39" s="130" t="n"/>
      <c r="AF39" s="130" t="n"/>
      <c r="AG39" s="130" t="n"/>
      <c r="AH39" s="131" t="n"/>
      <c r="AI39" s="131" t="n"/>
      <c r="AJ39" s="131" t="n"/>
      <c r="AK39" s="131" t="n"/>
      <c r="AL39" s="131" t="n"/>
      <c r="AM39" s="130" t="n"/>
      <c r="AN39" s="130" t="n"/>
      <c r="AO39" s="131" t="n"/>
      <c r="AP39" s="131" t="n"/>
      <c r="AQ39" s="130" t="n"/>
      <c r="AR39" s="131" t="n"/>
      <c r="AS39" s="130" t="n"/>
      <c r="AT39" s="130" t="n"/>
    </row>
    <row r="40" ht="18" customHeight="1" s="83">
      <c r="A40" s="47" t="n"/>
      <c r="B40" s="47" t="inlineStr">
        <is>
          <t>小計</t>
        </is>
      </c>
      <c r="C40" s="125" t="n"/>
      <c r="D40" s="125" t="n"/>
      <c r="E40" s="125" t="n"/>
      <c r="F40" s="132" t="n"/>
      <c r="G40" s="125" t="n"/>
      <c r="H40" s="125" t="n"/>
      <c r="I40" s="125" t="n"/>
      <c r="J40" s="132" t="n"/>
      <c r="K40" s="125" t="n"/>
      <c r="L40" s="125" t="n"/>
      <c r="M40" s="125" t="n"/>
      <c r="N40" s="132" t="n"/>
      <c r="O40" s="125" t="n"/>
      <c r="P40" s="125" t="n"/>
      <c r="Q40" s="125" t="n"/>
      <c r="R40" s="132" t="n"/>
      <c r="S40" s="125" t="n"/>
      <c r="T40" s="125" t="n"/>
      <c r="U40" s="125" t="n"/>
      <c r="V40" s="132" t="n"/>
      <c r="W40" s="125" t="n"/>
      <c r="X40" s="125" t="n"/>
      <c r="Y40" s="125" t="n"/>
      <c r="Z40" s="132" t="n"/>
      <c r="AA40" s="132" t="n"/>
      <c r="AB40" s="132" t="n"/>
      <c r="AC40" s="125" t="n"/>
      <c r="AD40" s="125" t="n"/>
      <c r="AE40" s="125" t="n"/>
      <c r="AF40" s="125" t="n"/>
      <c r="AG40" s="125" t="n"/>
      <c r="AH40" s="132" t="n"/>
      <c r="AI40" s="132" t="n"/>
      <c r="AJ40" s="132" t="n"/>
      <c r="AK40" s="132" t="n"/>
      <c r="AL40" s="132" t="n"/>
      <c r="AM40" s="125" t="n"/>
      <c r="AN40" s="125" t="n"/>
      <c r="AO40" s="132" t="n"/>
      <c r="AP40" s="132" t="n"/>
      <c r="AQ40" s="125" t="n"/>
      <c r="AR40" s="132" t="n"/>
      <c r="AS40" s="125" t="n"/>
      <c r="AT40" s="125" t="n"/>
    </row>
    <row r="41">
      <c r="A41" s="107" t="n"/>
      <c r="B41" s="107" t="n"/>
      <c r="C41" s="90" t="n"/>
      <c r="D41" s="90" t="n"/>
      <c r="E41" s="90" t="n"/>
      <c r="F41" s="90" t="n"/>
      <c r="G41" s="90" t="n"/>
      <c r="H41" s="90" t="n"/>
      <c r="I41" s="90" t="n"/>
      <c r="J41" s="90" t="n"/>
      <c r="K41" s="90" t="n"/>
      <c r="L41" s="90" t="n"/>
      <c r="M41" s="90" t="n"/>
      <c r="N41" s="90" t="n"/>
      <c r="O41" s="90" t="n"/>
      <c r="P41" s="90" t="n"/>
      <c r="Q41" s="90" t="n"/>
      <c r="R41" s="90" t="n"/>
      <c r="S41" s="90" t="n"/>
      <c r="T41" s="90" t="n"/>
      <c r="U41" s="90" t="n"/>
      <c r="V41" s="90" t="n"/>
      <c r="W41" s="90" t="n"/>
      <c r="X41" s="90" t="n"/>
      <c r="Y41" s="90" t="n"/>
      <c r="Z41" s="90" t="n"/>
      <c r="AA41" s="90" t="n"/>
      <c r="AB41" s="90" t="n"/>
      <c r="AC41" s="90" t="n"/>
      <c r="AD41" s="90" t="n"/>
      <c r="AE41" s="90" t="n"/>
      <c r="AF41" s="90" t="n"/>
      <c r="AG41" s="90" t="n"/>
      <c r="AH41" s="90" t="n"/>
      <c r="AI41" s="90" t="n"/>
      <c r="AJ41" s="90" t="n"/>
      <c r="AK41" s="90" t="n"/>
      <c r="AL41" s="90" t="n"/>
      <c r="AM41" s="90" t="n"/>
      <c r="AN41" s="90" t="n"/>
      <c r="AO41" s="90" t="n"/>
      <c r="AP41" s="90" t="n"/>
      <c r="AQ41" s="90" t="n"/>
      <c r="AR41" s="90" t="n"/>
      <c r="AS41" s="90" t="n"/>
      <c r="AT41" s="90" t="n"/>
    </row>
    <row r="42">
      <c r="A42" s="107" t="n"/>
      <c r="B42" s="107" t="n"/>
      <c r="C42" s="90" t="n"/>
      <c r="D42" s="90" t="n"/>
      <c r="E42" s="90" t="n"/>
      <c r="F42" s="90" t="n"/>
      <c r="G42" s="90" t="n"/>
      <c r="H42" s="90" t="n"/>
      <c r="I42" s="90" t="n"/>
      <c r="J42" s="90" t="n"/>
      <c r="K42" s="90" t="n"/>
      <c r="L42" s="90" t="n"/>
      <c r="M42" s="90" t="n"/>
      <c r="N42" s="90" t="n"/>
      <c r="O42" s="90" t="n"/>
      <c r="P42" s="90" t="n"/>
      <c r="Q42" s="90" t="n"/>
      <c r="R42" s="90" t="n"/>
      <c r="S42" s="90" t="n"/>
      <c r="T42" s="90" t="n"/>
      <c r="U42" s="90" t="n"/>
      <c r="V42" s="90" t="n"/>
      <c r="W42" s="90" t="n"/>
      <c r="X42" s="90" t="n"/>
      <c r="Y42" s="90" t="n"/>
      <c r="Z42" s="90" t="n"/>
      <c r="AA42" s="90" t="n"/>
      <c r="AB42" s="90" t="n"/>
      <c r="AC42" s="90" t="n"/>
      <c r="AD42" s="90" t="n"/>
      <c r="AE42" s="90" t="n"/>
      <c r="AF42" s="90" t="n"/>
      <c r="AG42" s="90" t="n"/>
      <c r="AH42" s="90" t="n"/>
      <c r="AI42" s="90" t="n"/>
      <c r="AJ42" s="90" t="n"/>
      <c r="AK42" s="90" t="n"/>
      <c r="AL42" s="90" t="n"/>
      <c r="AM42" s="90" t="n"/>
      <c r="AN42" s="90" t="n"/>
      <c r="AO42" s="90" t="n"/>
      <c r="AP42" s="90" t="n"/>
      <c r="AQ42" s="90" t="n"/>
      <c r="AR42" s="90" t="n"/>
      <c r="AS42" s="90" t="n"/>
      <c r="AT42" s="90" t="n"/>
    </row>
    <row r="43" ht="26" customHeight="1" s="83">
      <c r="A43" s="103" t="n"/>
      <c r="B43" s="103" t="inlineStr">
        <is>
          <t>美麗華門市</t>
        </is>
      </c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4" t="n"/>
    </row>
    <row r="44" ht="20" customHeight="1" s="83">
      <c r="A44" s="106" t="n"/>
      <c r="B44" s="81" t="inlineStr">
        <is>
          <t>本週</t>
        </is>
      </c>
      <c r="C44" s="91" t="inlineStr">
        <is>
          <t>iPhone</t>
        </is>
      </c>
      <c r="D44" s="113" t="n"/>
      <c r="E44" s="113" t="n"/>
      <c r="F44" s="114" t="n"/>
      <c r="G44" s="92" t="inlineStr">
        <is>
          <t>iPad</t>
        </is>
      </c>
      <c r="H44" s="113" t="n"/>
      <c r="I44" s="113" t="n"/>
      <c r="J44" s="114" t="n"/>
      <c r="K44" s="93" t="inlineStr">
        <is>
          <t>Watch</t>
        </is>
      </c>
      <c r="L44" s="113" t="n"/>
      <c r="M44" s="113" t="n"/>
      <c r="N44" s="114" t="n"/>
      <c r="O44" s="94" t="inlineStr">
        <is>
          <t>Mac</t>
        </is>
      </c>
      <c r="P44" s="113" t="n"/>
      <c r="Q44" s="113" t="n"/>
      <c r="R44" s="114" t="n"/>
      <c r="S44" s="95" t="inlineStr">
        <is>
          <t>AirPods</t>
        </is>
      </c>
      <c r="T44" s="113" t="n"/>
      <c r="U44" s="113" t="n"/>
      <c r="V44" s="114" t="n"/>
      <c r="W44" s="91" t="inlineStr">
        <is>
          <t>iPhone 配件</t>
        </is>
      </c>
      <c r="X44" s="113" t="n"/>
      <c r="Y44" s="113" t="n"/>
      <c r="Z44" s="113" t="n"/>
      <c r="AA44" s="113" t="n"/>
      <c r="AB44" s="114" t="n"/>
      <c r="AC44" s="92" t="inlineStr">
        <is>
          <t>iPad 配件</t>
        </is>
      </c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4" t="n"/>
      <c r="AM44" s="93" t="inlineStr">
        <is>
          <t>Watch 配件</t>
        </is>
      </c>
      <c r="AN44" s="113" t="n"/>
      <c r="AO44" s="113" t="n"/>
      <c r="AP44" s="114" t="n"/>
      <c r="AQ44" s="95" t="inlineStr">
        <is>
          <t>AirPods 配件</t>
        </is>
      </c>
      <c r="AR44" s="114" t="n"/>
      <c r="AS44" s="89" t="inlineStr">
        <is>
          <t>喇叭</t>
        </is>
      </c>
      <c r="AT44" s="114" t="n"/>
    </row>
    <row r="45" ht="42" customHeight="1" s="83">
      <c r="A45" s="80" t="inlineStr">
        <is>
          <t>員工代碼</t>
        </is>
      </c>
      <c r="B45" s="60" t="inlineStr">
        <is>
          <t>員工名稱</t>
        </is>
      </c>
      <c r="C45" s="86" t="inlineStr">
        <is>
          <t>台數</t>
        </is>
      </c>
      <c r="D45" s="86" t="inlineStr">
        <is>
          <t>ACPP+</t>
        </is>
      </c>
      <c r="E45" s="86" t="inlineStr">
        <is>
          <t>SAcare</t>
        </is>
      </c>
      <c r="F45" s="86" t="inlineStr">
        <is>
          <t>合計率</t>
        </is>
      </c>
      <c r="G45" s="86" t="inlineStr">
        <is>
          <t>台數</t>
        </is>
      </c>
      <c r="H45" s="86" t="inlineStr">
        <is>
          <t>ACPP+</t>
        </is>
      </c>
      <c r="I45" s="86" t="inlineStr">
        <is>
          <t>SAcare</t>
        </is>
      </c>
      <c r="J45" s="86" t="inlineStr">
        <is>
          <t>合計率</t>
        </is>
      </c>
      <c r="K45" s="86" t="inlineStr">
        <is>
          <t>台數</t>
        </is>
      </c>
      <c r="L45" s="86" t="inlineStr">
        <is>
          <t>ACPP+</t>
        </is>
      </c>
      <c r="M45" s="86" t="inlineStr">
        <is>
          <t>SAcare</t>
        </is>
      </c>
      <c r="N45" s="86" t="inlineStr">
        <is>
          <t>合計率</t>
        </is>
      </c>
      <c r="O45" s="86" t="inlineStr">
        <is>
          <t>台數</t>
        </is>
      </c>
      <c r="P45" s="86" t="inlineStr">
        <is>
          <t>ACPP+</t>
        </is>
      </c>
      <c r="Q45" s="86" t="inlineStr">
        <is>
          <t>SAcare</t>
        </is>
      </c>
      <c r="R45" s="86" t="inlineStr">
        <is>
          <t>合計率</t>
        </is>
      </c>
      <c r="S45" s="86" t="inlineStr">
        <is>
          <t>台數</t>
        </is>
      </c>
      <c r="T45" s="86" t="inlineStr">
        <is>
          <t>ACPP+</t>
        </is>
      </c>
      <c r="U45" s="86" t="inlineStr">
        <is>
          <t>SAcare</t>
        </is>
      </c>
      <c r="V45" s="86" t="inlineStr">
        <is>
          <t>合計率</t>
        </is>
      </c>
      <c r="W45" s="86" t="inlineStr">
        <is>
          <t>保貼</t>
        </is>
      </c>
      <c r="X45" s="86" t="inlineStr">
        <is>
          <t>保護殼</t>
        </is>
      </c>
      <c r="Y45" s="86" t="inlineStr">
        <is>
          <t>鏡頭貼</t>
        </is>
      </c>
      <c r="Z45" s="86" t="inlineStr">
        <is>
          <t>保貼率</t>
        </is>
      </c>
      <c r="AA45" s="86" t="inlineStr">
        <is>
          <t>保護殼率</t>
        </is>
      </c>
      <c r="AB45" s="86" t="inlineStr">
        <is>
          <t>鏡頭貼率</t>
        </is>
      </c>
      <c r="AC45" s="86" t="inlineStr">
        <is>
          <t>原廠筆</t>
        </is>
      </c>
      <c r="AD45" s="86" t="inlineStr">
        <is>
          <t>副廠筆</t>
        </is>
      </c>
      <c r="AE45" s="86" t="inlineStr">
        <is>
          <t>保貼</t>
        </is>
      </c>
      <c r="AF45" s="86" t="inlineStr">
        <is>
          <t>保護殼</t>
        </is>
      </c>
      <c r="AG45" s="86" t="inlineStr">
        <is>
          <t>鍵盤</t>
        </is>
      </c>
      <c r="AH45" s="86" t="inlineStr">
        <is>
          <t>原廠筆率</t>
        </is>
      </c>
      <c r="AI45" s="86" t="inlineStr">
        <is>
          <t>副廠筆率</t>
        </is>
      </c>
      <c r="AJ45" s="86" t="inlineStr">
        <is>
          <t>保貼率</t>
        </is>
      </c>
      <c r="AK45" s="86" t="inlineStr">
        <is>
          <t>保護殼率</t>
        </is>
      </c>
      <c r="AL45" s="86" t="inlineStr">
        <is>
          <t>鍵盤率</t>
        </is>
      </c>
      <c r="AM45" s="86" t="inlineStr">
        <is>
          <t>保貼</t>
        </is>
      </c>
      <c r="AN45" s="86" t="inlineStr">
        <is>
          <t>錶帶</t>
        </is>
      </c>
      <c r="AO45" s="86" t="inlineStr">
        <is>
          <t>保貼率</t>
        </is>
      </c>
      <c r="AP45" s="86" t="inlineStr">
        <is>
          <t>錶帶率</t>
        </is>
      </c>
      <c r="AQ45" s="86" t="inlineStr">
        <is>
          <t>配件數</t>
        </is>
      </c>
      <c r="AR45" s="86" t="inlineStr">
        <is>
          <t>配件率</t>
        </is>
      </c>
      <c r="AS45" s="86" t="inlineStr">
        <is>
          <t>含Momax</t>
        </is>
      </c>
      <c r="AT45" s="86" t="inlineStr">
        <is>
          <t>不含Momax</t>
        </is>
      </c>
    </row>
    <row r="46" ht="17" customHeight="1" s="83">
      <c r="A46" s="53" t="n"/>
      <c r="B46" s="53" t="n"/>
      <c r="C46" s="128" t="n"/>
      <c r="D46" s="128" t="n"/>
      <c r="E46" s="128" t="n"/>
      <c r="F46" s="129" t="n"/>
      <c r="G46" s="128" t="n"/>
      <c r="H46" s="128" t="n"/>
      <c r="I46" s="128" t="n"/>
      <c r="J46" s="129" t="n"/>
      <c r="K46" s="128" t="n"/>
      <c r="L46" s="128" t="n"/>
      <c r="M46" s="128" t="n"/>
      <c r="N46" s="129" t="n"/>
      <c r="O46" s="128" t="n"/>
      <c r="P46" s="128" t="n"/>
      <c r="Q46" s="128" t="n"/>
      <c r="R46" s="129" t="n"/>
      <c r="S46" s="128" t="n"/>
      <c r="T46" s="128" t="n"/>
      <c r="U46" s="128" t="n"/>
      <c r="V46" s="129" t="n"/>
      <c r="W46" s="128" t="n"/>
      <c r="X46" s="128" t="n"/>
      <c r="Y46" s="128" t="n"/>
      <c r="Z46" s="129" t="n"/>
      <c r="AA46" s="129" t="n"/>
      <c r="AB46" s="129" t="n"/>
      <c r="AC46" s="128" t="n"/>
      <c r="AD46" s="128" t="n"/>
      <c r="AE46" s="128" t="n"/>
      <c r="AF46" s="128" t="n"/>
      <c r="AG46" s="128" t="n"/>
      <c r="AH46" s="129" t="n"/>
      <c r="AI46" s="129" t="n"/>
      <c r="AJ46" s="129" t="n"/>
      <c r="AK46" s="129" t="n"/>
      <c r="AL46" s="129" t="n"/>
      <c r="AM46" s="128" t="n"/>
      <c r="AN46" s="128" t="n"/>
      <c r="AO46" s="129" t="n"/>
      <c r="AP46" s="129" t="n"/>
      <c r="AQ46" s="128" t="n"/>
      <c r="AR46" s="129" t="n"/>
      <c r="AS46" s="128" t="n"/>
      <c r="AT46" s="128" t="n"/>
    </row>
    <row r="47" ht="17" customHeight="1" s="83">
      <c r="A47" s="53" t="n"/>
      <c r="B47" s="53" t="n"/>
      <c r="C47" s="130" t="n"/>
      <c r="D47" s="130" t="n"/>
      <c r="E47" s="130" t="n"/>
      <c r="F47" s="131" t="n"/>
      <c r="G47" s="130" t="n"/>
      <c r="H47" s="130" t="n"/>
      <c r="I47" s="130" t="n"/>
      <c r="J47" s="131" t="n"/>
      <c r="K47" s="130" t="n"/>
      <c r="L47" s="130" t="n"/>
      <c r="M47" s="130" t="n"/>
      <c r="N47" s="131" t="n"/>
      <c r="O47" s="130" t="n"/>
      <c r="P47" s="130" t="n"/>
      <c r="Q47" s="130" t="n"/>
      <c r="R47" s="131" t="n"/>
      <c r="S47" s="130" t="n"/>
      <c r="T47" s="130" t="n"/>
      <c r="U47" s="130" t="n"/>
      <c r="V47" s="131" t="n"/>
      <c r="W47" s="130" t="n"/>
      <c r="X47" s="130" t="n"/>
      <c r="Y47" s="130" t="n"/>
      <c r="Z47" s="131" t="n"/>
      <c r="AA47" s="131" t="n"/>
      <c r="AB47" s="131" t="n"/>
      <c r="AC47" s="130" t="n"/>
      <c r="AD47" s="130" t="n"/>
      <c r="AE47" s="130" t="n"/>
      <c r="AF47" s="130" t="n"/>
      <c r="AG47" s="130" t="n"/>
      <c r="AH47" s="131" t="n"/>
      <c r="AI47" s="131" t="n"/>
      <c r="AJ47" s="131" t="n"/>
      <c r="AK47" s="131" t="n"/>
      <c r="AL47" s="131" t="n"/>
      <c r="AM47" s="130" t="n"/>
      <c r="AN47" s="130" t="n"/>
      <c r="AO47" s="131" t="n"/>
      <c r="AP47" s="131" t="n"/>
      <c r="AQ47" s="130" t="n"/>
      <c r="AR47" s="131" t="n"/>
      <c r="AS47" s="130" t="n"/>
      <c r="AT47" s="130" t="n"/>
    </row>
    <row r="48" ht="17" customHeight="1" s="83">
      <c r="A48" s="53" t="n"/>
      <c r="B48" s="53" t="n"/>
      <c r="C48" s="128" t="n"/>
      <c r="D48" s="128" t="n"/>
      <c r="E48" s="128" t="n"/>
      <c r="F48" s="129" t="n"/>
      <c r="G48" s="128" t="n"/>
      <c r="H48" s="128" t="n"/>
      <c r="I48" s="128" t="n"/>
      <c r="J48" s="129" t="n"/>
      <c r="K48" s="128" t="n"/>
      <c r="L48" s="128" t="n"/>
      <c r="M48" s="128" t="n"/>
      <c r="N48" s="129" t="n"/>
      <c r="O48" s="128" t="n"/>
      <c r="P48" s="128" t="n"/>
      <c r="Q48" s="128" t="n"/>
      <c r="R48" s="129" t="n"/>
      <c r="S48" s="128" t="n"/>
      <c r="T48" s="128" t="n"/>
      <c r="U48" s="128" t="n"/>
      <c r="V48" s="129" t="n"/>
      <c r="W48" s="128" t="n"/>
      <c r="X48" s="128" t="n"/>
      <c r="Y48" s="128" t="n"/>
      <c r="Z48" s="129" t="n"/>
      <c r="AA48" s="129" t="n"/>
      <c r="AB48" s="129" t="n"/>
      <c r="AC48" s="128" t="n"/>
      <c r="AD48" s="128" t="n"/>
      <c r="AE48" s="128" t="n"/>
      <c r="AF48" s="128" t="n"/>
      <c r="AG48" s="128" t="n"/>
      <c r="AH48" s="129" t="n"/>
      <c r="AI48" s="129" t="n"/>
      <c r="AJ48" s="129" t="n"/>
      <c r="AK48" s="129" t="n"/>
      <c r="AL48" s="129" t="n"/>
      <c r="AM48" s="128" t="n"/>
      <c r="AN48" s="128" t="n"/>
      <c r="AO48" s="129" t="n"/>
      <c r="AP48" s="129" t="n"/>
      <c r="AQ48" s="128" t="n"/>
      <c r="AR48" s="129" t="n"/>
      <c r="AS48" s="128" t="n"/>
      <c r="AT48" s="128" t="n"/>
    </row>
    <row r="49" ht="17" customHeight="1" s="83">
      <c r="A49" s="53" t="n"/>
      <c r="B49" s="53" t="n"/>
      <c r="C49" s="130" t="n"/>
      <c r="D49" s="130" t="n"/>
      <c r="E49" s="130" t="n"/>
      <c r="F49" s="131" t="n"/>
      <c r="G49" s="130" t="n"/>
      <c r="H49" s="130" t="n"/>
      <c r="I49" s="130" t="n"/>
      <c r="J49" s="131" t="n"/>
      <c r="K49" s="130" t="n"/>
      <c r="L49" s="130" t="n"/>
      <c r="M49" s="130" t="n"/>
      <c r="N49" s="131" t="n"/>
      <c r="O49" s="130" t="n"/>
      <c r="P49" s="130" t="n"/>
      <c r="Q49" s="130" t="n"/>
      <c r="R49" s="131" t="n"/>
      <c r="S49" s="130" t="n"/>
      <c r="T49" s="130" t="n"/>
      <c r="U49" s="130" t="n"/>
      <c r="V49" s="131" t="n"/>
      <c r="W49" s="130" t="n"/>
      <c r="X49" s="130" t="n"/>
      <c r="Y49" s="130" t="n"/>
      <c r="Z49" s="131" t="n"/>
      <c r="AA49" s="131" t="n"/>
      <c r="AB49" s="131" t="n"/>
      <c r="AC49" s="130" t="n"/>
      <c r="AD49" s="130" t="n"/>
      <c r="AE49" s="130" t="n"/>
      <c r="AF49" s="130" t="n"/>
      <c r="AG49" s="130" t="n"/>
      <c r="AH49" s="131" t="n"/>
      <c r="AI49" s="131" t="n"/>
      <c r="AJ49" s="131" t="n"/>
      <c r="AK49" s="131" t="n"/>
      <c r="AL49" s="131" t="n"/>
      <c r="AM49" s="130" t="n"/>
      <c r="AN49" s="130" t="n"/>
      <c r="AO49" s="131" t="n"/>
      <c r="AP49" s="131" t="n"/>
      <c r="AQ49" s="130" t="n"/>
      <c r="AR49" s="131" t="n"/>
      <c r="AS49" s="130" t="n"/>
      <c r="AT49" s="130" t="n"/>
    </row>
    <row r="50" ht="17" customHeight="1" s="83">
      <c r="A50" s="53" t="n"/>
      <c r="B50" s="53" t="n"/>
      <c r="C50" s="128" t="n"/>
      <c r="D50" s="128" t="n"/>
      <c r="E50" s="128" t="n"/>
      <c r="F50" s="129" t="n"/>
      <c r="G50" s="128" t="n"/>
      <c r="H50" s="128" t="n"/>
      <c r="I50" s="128" t="n"/>
      <c r="J50" s="129" t="n"/>
      <c r="K50" s="128" t="n"/>
      <c r="L50" s="128" t="n"/>
      <c r="M50" s="128" t="n"/>
      <c r="N50" s="129" t="n"/>
      <c r="O50" s="128" t="n"/>
      <c r="P50" s="128" t="n"/>
      <c r="Q50" s="128" t="n"/>
      <c r="R50" s="129" t="n"/>
      <c r="S50" s="128" t="n"/>
      <c r="T50" s="128" t="n"/>
      <c r="U50" s="128" t="n"/>
      <c r="V50" s="129" t="n"/>
      <c r="W50" s="128" t="n"/>
      <c r="X50" s="128" t="n"/>
      <c r="Y50" s="128" t="n"/>
      <c r="Z50" s="129" t="n"/>
      <c r="AA50" s="129" t="n"/>
      <c r="AB50" s="129" t="n"/>
      <c r="AC50" s="128" t="n"/>
      <c r="AD50" s="128" t="n"/>
      <c r="AE50" s="128" t="n"/>
      <c r="AF50" s="128" t="n"/>
      <c r="AG50" s="128" t="n"/>
      <c r="AH50" s="129" t="n"/>
      <c r="AI50" s="129" t="n"/>
      <c r="AJ50" s="129" t="n"/>
      <c r="AK50" s="129" t="n"/>
      <c r="AL50" s="129" t="n"/>
      <c r="AM50" s="128" t="n"/>
      <c r="AN50" s="128" t="n"/>
      <c r="AO50" s="129" t="n"/>
      <c r="AP50" s="129" t="n"/>
      <c r="AQ50" s="128" t="n"/>
      <c r="AR50" s="129" t="n"/>
      <c r="AS50" s="128" t="n"/>
      <c r="AT50" s="128" t="n"/>
    </row>
    <row r="51" ht="17" customHeight="1" s="83">
      <c r="A51" s="53" t="n"/>
      <c r="B51" s="53" t="n"/>
      <c r="C51" s="130" t="n"/>
      <c r="D51" s="130" t="n"/>
      <c r="E51" s="130" t="n"/>
      <c r="F51" s="131" t="n"/>
      <c r="G51" s="130" t="n"/>
      <c r="H51" s="130" t="n"/>
      <c r="I51" s="130" t="n"/>
      <c r="J51" s="131" t="n"/>
      <c r="K51" s="130" t="n"/>
      <c r="L51" s="130" t="n"/>
      <c r="M51" s="130" t="n"/>
      <c r="N51" s="131" t="n"/>
      <c r="O51" s="130" t="n"/>
      <c r="P51" s="130" t="n"/>
      <c r="Q51" s="130" t="n"/>
      <c r="R51" s="131" t="n"/>
      <c r="S51" s="130" t="n"/>
      <c r="T51" s="130" t="n"/>
      <c r="U51" s="130" t="n"/>
      <c r="V51" s="131" t="n"/>
      <c r="W51" s="130" t="n"/>
      <c r="X51" s="130" t="n"/>
      <c r="Y51" s="130" t="n"/>
      <c r="Z51" s="131" t="n"/>
      <c r="AA51" s="131" t="n"/>
      <c r="AB51" s="131" t="n"/>
      <c r="AC51" s="130" t="n"/>
      <c r="AD51" s="130" t="n"/>
      <c r="AE51" s="130" t="n"/>
      <c r="AF51" s="130" t="n"/>
      <c r="AG51" s="130" t="n"/>
      <c r="AH51" s="131" t="n"/>
      <c r="AI51" s="131" t="n"/>
      <c r="AJ51" s="131" t="n"/>
      <c r="AK51" s="131" t="n"/>
      <c r="AL51" s="131" t="n"/>
      <c r="AM51" s="130" t="n"/>
      <c r="AN51" s="130" t="n"/>
      <c r="AO51" s="131" t="n"/>
      <c r="AP51" s="131" t="n"/>
      <c r="AQ51" s="130" t="n"/>
      <c r="AR51" s="131" t="n"/>
      <c r="AS51" s="130" t="n"/>
      <c r="AT51" s="130" t="n"/>
    </row>
    <row r="52" ht="17" customHeight="1" s="83">
      <c r="A52" s="53" t="n"/>
      <c r="B52" s="53" t="n"/>
      <c r="C52" s="128" t="n"/>
      <c r="D52" s="128" t="n"/>
      <c r="E52" s="128" t="n"/>
      <c r="F52" s="129" t="n"/>
      <c r="G52" s="128" t="n"/>
      <c r="H52" s="128" t="n"/>
      <c r="I52" s="128" t="n"/>
      <c r="J52" s="129" t="n"/>
      <c r="K52" s="128" t="n"/>
      <c r="L52" s="128" t="n"/>
      <c r="M52" s="128" t="n"/>
      <c r="N52" s="129" t="n"/>
      <c r="O52" s="128" t="n"/>
      <c r="P52" s="128" t="n"/>
      <c r="Q52" s="128" t="n"/>
      <c r="R52" s="129" t="n"/>
      <c r="S52" s="128" t="n"/>
      <c r="T52" s="128" t="n"/>
      <c r="U52" s="128" t="n"/>
      <c r="V52" s="129" t="n"/>
      <c r="W52" s="128" t="n"/>
      <c r="X52" s="128" t="n"/>
      <c r="Y52" s="128" t="n"/>
      <c r="Z52" s="129" t="n"/>
      <c r="AA52" s="129" t="n"/>
      <c r="AB52" s="129" t="n"/>
      <c r="AC52" s="128" t="n"/>
      <c r="AD52" s="128" t="n"/>
      <c r="AE52" s="128" t="n"/>
      <c r="AF52" s="128" t="n"/>
      <c r="AG52" s="128" t="n"/>
      <c r="AH52" s="129" t="n"/>
      <c r="AI52" s="129" t="n"/>
      <c r="AJ52" s="129" t="n"/>
      <c r="AK52" s="129" t="n"/>
      <c r="AL52" s="129" t="n"/>
      <c r="AM52" s="128" t="n"/>
      <c r="AN52" s="128" t="n"/>
      <c r="AO52" s="129" t="n"/>
      <c r="AP52" s="129" t="n"/>
      <c r="AQ52" s="128" t="n"/>
      <c r="AR52" s="129" t="n"/>
      <c r="AS52" s="128" t="n"/>
      <c r="AT52" s="128" t="n"/>
    </row>
    <row r="53" ht="18" customHeight="1" s="83">
      <c r="A53" s="47" t="n"/>
      <c r="B53" s="47" t="inlineStr">
        <is>
          <t>小計</t>
        </is>
      </c>
      <c r="C53" s="125" t="n">
        <v>41</v>
      </c>
      <c r="D53" s="125" t="n">
        <v>1</v>
      </c>
      <c r="E53" s="125" t="n">
        <v>7</v>
      </c>
      <c r="F53" s="132" t="n">
        <v>0.1951219512195122</v>
      </c>
      <c r="G53" s="125" t="n">
        <v>16</v>
      </c>
      <c r="H53" s="125" t="n">
        <v>1</v>
      </c>
      <c r="I53" s="125" t="n">
        <v>7</v>
      </c>
      <c r="J53" s="132" t="n">
        <v>0.5</v>
      </c>
      <c r="K53" s="125" t="n">
        <v>21</v>
      </c>
      <c r="L53" s="125" t="n"/>
      <c r="M53" s="125" t="n"/>
      <c r="N53" s="132" t="n"/>
      <c r="O53" s="125" t="n"/>
      <c r="P53" s="125" t="n"/>
      <c r="Q53" s="125" t="n"/>
      <c r="R53" s="132" t="n"/>
      <c r="S53" s="125" t="n"/>
      <c r="T53" s="125" t="n"/>
      <c r="U53" s="125" t="n"/>
      <c r="V53" s="132" t="n"/>
      <c r="W53" s="125" t="n"/>
      <c r="X53" s="125" t="n"/>
      <c r="Y53" s="125" t="n"/>
      <c r="Z53" s="132" t="n"/>
      <c r="AA53" s="132" t="n"/>
      <c r="AB53" s="132" t="n"/>
      <c r="AC53" s="125" t="n"/>
      <c r="AD53" s="125" t="n"/>
      <c r="AE53" s="125" t="n"/>
      <c r="AF53" s="125" t="n"/>
      <c r="AG53" s="125" t="n"/>
      <c r="AH53" s="132" t="n"/>
      <c r="AI53" s="132" t="n"/>
      <c r="AJ53" s="132" t="n"/>
      <c r="AK53" s="132" t="n"/>
      <c r="AL53" s="132" t="n"/>
      <c r="AM53" s="125" t="n"/>
      <c r="AN53" s="125" t="n"/>
      <c r="AO53" s="132" t="n"/>
      <c r="AP53" s="132" t="n"/>
      <c r="AQ53" s="125" t="n"/>
      <c r="AR53" s="132" t="n"/>
      <c r="AS53" s="125" t="n"/>
      <c r="AT53" s="125" t="n"/>
    </row>
    <row r="54" ht="20" customHeight="1" s="83">
      <c r="A54" s="106" t="n"/>
      <c r="B54" s="81" t="inlineStr">
        <is>
          <t>月累積</t>
        </is>
      </c>
      <c r="C54" s="91" t="inlineStr">
        <is>
          <t>iPhone</t>
        </is>
      </c>
      <c r="D54" s="113" t="n"/>
      <c r="E54" s="113" t="n"/>
      <c r="F54" s="114" t="n"/>
      <c r="G54" s="92" t="inlineStr">
        <is>
          <t>iPad</t>
        </is>
      </c>
      <c r="H54" s="113" t="n"/>
      <c r="I54" s="113" t="n"/>
      <c r="J54" s="114" t="n"/>
      <c r="K54" s="93" t="inlineStr">
        <is>
          <t>Watch</t>
        </is>
      </c>
      <c r="L54" s="113" t="n"/>
      <c r="M54" s="113" t="n"/>
      <c r="N54" s="114" t="n"/>
      <c r="O54" s="94" t="inlineStr">
        <is>
          <t>Mac</t>
        </is>
      </c>
      <c r="P54" s="113" t="n"/>
      <c r="Q54" s="113" t="n"/>
      <c r="R54" s="114" t="n"/>
      <c r="S54" s="95" t="inlineStr">
        <is>
          <t>AirPods</t>
        </is>
      </c>
      <c r="T54" s="113" t="n"/>
      <c r="U54" s="113" t="n"/>
      <c r="V54" s="114" t="n"/>
      <c r="W54" s="91" t="inlineStr">
        <is>
          <t>iPhone 配件</t>
        </is>
      </c>
      <c r="X54" s="113" t="n"/>
      <c r="Y54" s="113" t="n"/>
      <c r="Z54" s="113" t="n"/>
      <c r="AA54" s="113" t="n"/>
      <c r="AB54" s="114" t="n"/>
      <c r="AC54" s="92" t="inlineStr">
        <is>
          <t>iPad 配件</t>
        </is>
      </c>
      <c r="AD54" s="113" t="n"/>
      <c r="AE54" s="113" t="n"/>
      <c r="AF54" s="113" t="n"/>
      <c r="AG54" s="113" t="n"/>
      <c r="AH54" s="113" t="n"/>
      <c r="AI54" s="113" t="n"/>
      <c r="AJ54" s="113" t="n"/>
      <c r="AK54" s="113" t="n"/>
      <c r="AL54" s="114" t="n"/>
      <c r="AM54" s="93" t="inlineStr">
        <is>
          <t>Watch 配件</t>
        </is>
      </c>
      <c r="AN54" s="113" t="n"/>
      <c r="AO54" s="113" t="n"/>
      <c r="AP54" s="114" t="n"/>
      <c r="AQ54" s="95" t="inlineStr">
        <is>
          <t>AirPods 配件</t>
        </is>
      </c>
      <c r="AR54" s="114" t="n"/>
      <c r="AS54" s="89" t="inlineStr">
        <is>
          <t>喇叭</t>
        </is>
      </c>
      <c r="AT54" s="114" t="n"/>
    </row>
    <row r="55" ht="42" customHeight="1" s="83">
      <c r="A55" s="80" t="inlineStr">
        <is>
          <t>員工代碼</t>
        </is>
      </c>
      <c r="B55" s="60" t="inlineStr">
        <is>
          <t>員工名稱</t>
        </is>
      </c>
      <c r="C55" s="86" t="inlineStr">
        <is>
          <t>台數</t>
        </is>
      </c>
      <c r="D55" s="86" t="inlineStr">
        <is>
          <t>ACPP+</t>
        </is>
      </c>
      <c r="E55" s="86" t="inlineStr">
        <is>
          <t>SAcare</t>
        </is>
      </c>
      <c r="F55" s="86" t="inlineStr">
        <is>
          <t>合計率</t>
        </is>
      </c>
      <c r="G55" s="86" t="inlineStr">
        <is>
          <t>台數</t>
        </is>
      </c>
      <c r="H55" s="86" t="inlineStr">
        <is>
          <t>ACPP+</t>
        </is>
      </c>
      <c r="I55" s="86" t="inlineStr">
        <is>
          <t>SAcare</t>
        </is>
      </c>
      <c r="J55" s="86" t="inlineStr">
        <is>
          <t>合計率</t>
        </is>
      </c>
      <c r="K55" s="86" t="inlineStr">
        <is>
          <t>台數</t>
        </is>
      </c>
      <c r="L55" s="86" t="inlineStr">
        <is>
          <t>ACPP+</t>
        </is>
      </c>
      <c r="M55" s="86" t="inlineStr">
        <is>
          <t>SAcare</t>
        </is>
      </c>
      <c r="N55" s="86" t="inlineStr">
        <is>
          <t>合計率</t>
        </is>
      </c>
      <c r="O55" s="86" t="inlineStr">
        <is>
          <t>台數</t>
        </is>
      </c>
      <c r="P55" s="86" t="inlineStr">
        <is>
          <t>ACPP+</t>
        </is>
      </c>
      <c r="Q55" s="86" t="inlineStr">
        <is>
          <t>SAcare</t>
        </is>
      </c>
      <c r="R55" s="86" t="inlineStr">
        <is>
          <t>合計率</t>
        </is>
      </c>
      <c r="S55" s="86" t="inlineStr">
        <is>
          <t>台數</t>
        </is>
      </c>
      <c r="T55" s="86" t="inlineStr">
        <is>
          <t>ACPP+</t>
        </is>
      </c>
      <c r="U55" s="86" t="inlineStr">
        <is>
          <t>SAcare</t>
        </is>
      </c>
      <c r="V55" s="86" t="inlineStr">
        <is>
          <t>合計率</t>
        </is>
      </c>
      <c r="W55" s="86" t="inlineStr">
        <is>
          <t>保貼</t>
        </is>
      </c>
      <c r="X55" s="86" t="inlineStr">
        <is>
          <t>保護殼</t>
        </is>
      </c>
      <c r="Y55" s="86" t="inlineStr">
        <is>
          <t>鏡頭貼</t>
        </is>
      </c>
      <c r="Z55" s="86" t="inlineStr">
        <is>
          <t>保貼率</t>
        </is>
      </c>
      <c r="AA55" s="86" t="inlineStr">
        <is>
          <t>保護殼率</t>
        </is>
      </c>
      <c r="AB55" s="86" t="inlineStr">
        <is>
          <t>鏡頭貼率</t>
        </is>
      </c>
      <c r="AC55" s="86" t="inlineStr">
        <is>
          <t>原廠筆</t>
        </is>
      </c>
      <c r="AD55" s="86" t="inlineStr">
        <is>
          <t>副廠筆</t>
        </is>
      </c>
      <c r="AE55" s="86" t="inlineStr">
        <is>
          <t>保貼</t>
        </is>
      </c>
      <c r="AF55" s="86" t="inlineStr">
        <is>
          <t>保護殼</t>
        </is>
      </c>
      <c r="AG55" s="86" t="inlineStr">
        <is>
          <t>鍵盤</t>
        </is>
      </c>
      <c r="AH55" s="86" t="inlineStr">
        <is>
          <t>原廠筆率</t>
        </is>
      </c>
      <c r="AI55" s="86" t="inlineStr">
        <is>
          <t>副廠筆率</t>
        </is>
      </c>
      <c r="AJ55" s="86" t="inlineStr">
        <is>
          <t>保貼率</t>
        </is>
      </c>
      <c r="AK55" s="86" t="inlineStr">
        <is>
          <t>保護殼率</t>
        </is>
      </c>
      <c r="AL55" s="86" t="inlineStr">
        <is>
          <t>鍵盤率</t>
        </is>
      </c>
      <c r="AM55" s="86" t="inlineStr">
        <is>
          <t>保貼</t>
        </is>
      </c>
      <c r="AN55" s="86" t="inlineStr">
        <is>
          <t>錶帶</t>
        </is>
      </c>
      <c r="AO55" s="86" t="inlineStr">
        <is>
          <t>保貼率</t>
        </is>
      </c>
      <c r="AP55" s="86" t="inlineStr">
        <is>
          <t>錶帶率</t>
        </is>
      </c>
      <c r="AQ55" s="86" t="inlineStr">
        <is>
          <t>配件數</t>
        </is>
      </c>
      <c r="AR55" s="86" t="inlineStr">
        <is>
          <t>配件率</t>
        </is>
      </c>
      <c r="AS55" s="86" t="inlineStr">
        <is>
          <t>含Momax</t>
        </is>
      </c>
      <c r="AT55" s="86" t="inlineStr">
        <is>
          <t>不含Momax</t>
        </is>
      </c>
    </row>
    <row r="56" ht="17" customHeight="1" s="83">
      <c r="A56" s="53" t="n"/>
      <c r="B56" s="53" t="n"/>
      <c r="C56" s="128" t="n"/>
      <c r="D56" s="128" t="n"/>
      <c r="E56" s="128" t="n"/>
      <c r="F56" s="129" t="n"/>
      <c r="G56" s="128" t="n"/>
      <c r="H56" s="128" t="n"/>
      <c r="I56" s="128" t="n"/>
      <c r="J56" s="129" t="n"/>
      <c r="K56" s="128" t="n"/>
      <c r="L56" s="128" t="n"/>
      <c r="M56" s="128" t="n"/>
      <c r="N56" s="129" t="n"/>
      <c r="O56" s="128" t="n"/>
      <c r="P56" s="128" t="n"/>
      <c r="Q56" s="128" t="n"/>
      <c r="R56" s="129" t="n"/>
      <c r="S56" s="128" t="n"/>
      <c r="T56" s="128" t="n"/>
      <c r="U56" s="128" t="n"/>
      <c r="V56" s="129" t="n"/>
      <c r="W56" s="128" t="n"/>
      <c r="X56" s="128" t="n"/>
      <c r="Y56" s="128" t="n"/>
      <c r="Z56" s="129" t="n"/>
      <c r="AA56" s="129" t="n"/>
      <c r="AB56" s="129" t="n"/>
      <c r="AC56" s="128" t="n"/>
      <c r="AD56" s="128" t="n"/>
      <c r="AE56" s="128" t="n"/>
      <c r="AF56" s="128" t="n"/>
      <c r="AG56" s="128" t="n"/>
      <c r="AH56" s="129" t="n"/>
      <c r="AI56" s="129" t="n"/>
      <c r="AJ56" s="129" t="n"/>
      <c r="AK56" s="129" t="n"/>
      <c r="AL56" s="129" t="n"/>
      <c r="AM56" s="128" t="n"/>
      <c r="AN56" s="128" t="n"/>
      <c r="AO56" s="129" t="n"/>
      <c r="AP56" s="129" t="n"/>
      <c r="AQ56" s="128" t="n"/>
      <c r="AR56" s="129" t="n"/>
      <c r="AS56" s="128" t="n"/>
      <c r="AT56" s="128" t="n"/>
    </row>
    <row r="57" ht="17" customHeight="1" s="83">
      <c r="A57" s="53" t="n"/>
      <c r="B57" s="53" t="n"/>
      <c r="C57" s="130" t="n"/>
      <c r="D57" s="130" t="n"/>
      <c r="E57" s="130" t="n"/>
      <c r="F57" s="131" t="n"/>
      <c r="G57" s="130" t="n"/>
      <c r="H57" s="130" t="n"/>
      <c r="I57" s="130" t="n"/>
      <c r="J57" s="131" t="n"/>
      <c r="K57" s="130" t="n"/>
      <c r="L57" s="130" t="n"/>
      <c r="M57" s="130" t="n"/>
      <c r="N57" s="131" t="n"/>
      <c r="O57" s="130" t="n"/>
      <c r="P57" s="130" t="n"/>
      <c r="Q57" s="130" t="n"/>
      <c r="R57" s="131" t="n"/>
      <c r="S57" s="130" t="n"/>
      <c r="T57" s="130" t="n"/>
      <c r="U57" s="130" t="n"/>
      <c r="V57" s="131" t="n"/>
      <c r="W57" s="130" t="n"/>
      <c r="X57" s="130" t="n"/>
      <c r="Y57" s="130" t="n"/>
      <c r="Z57" s="131" t="n"/>
      <c r="AA57" s="131" t="n"/>
      <c r="AB57" s="131" t="n"/>
      <c r="AC57" s="130" t="n"/>
      <c r="AD57" s="130" t="n"/>
      <c r="AE57" s="130" t="n"/>
      <c r="AF57" s="130" t="n"/>
      <c r="AG57" s="130" t="n"/>
      <c r="AH57" s="131" t="n"/>
      <c r="AI57" s="131" t="n"/>
      <c r="AJ57" s="131" t="n"/>
      <c r="AK57" s="131" t="n"/>
      <c r="AL57" s="131" t="n"/>
      <c r="AM57" s="130" t="n"/>
      <c r="AN57" s="130" t="n"/>
      <c r="AO57" s="131" t="n"/>
      <c r="AP57" s="131" t="n"/>
      <c r="AQ57" s="130" t="n"/>
      <c r="AR57" s="131" t="n"/>
      <c r="AS57" s="130" t="n"/>
      <c r="AT57" s="130" t="n"/>
    </row>
    <row r="58" ht="17" customHeight="1" s="83">
      <c r="A58" s="53" t="n"/>
      <c r="B58" s="53" t="n"/>
      <c r="C58" s="128" t="n"/>
      <c r="D58" s="128" t="n"/>
      <c r="E58" s="128" t="n"/>
      <c r="F58" s="129" t="n"/>
      <c r="G58" s="128" t="n"/>
      <c r="H58" s="128" t="n"/>
      <c r="I58" s="128" t="n"/>
      <c r="J58" s="129" t="n"/>
      <c r="K58" s="128" t="n"/>
      <c r="L58" s="128" t="n"/>
      <c r="M58" s="128" t="n"/>
      <c r="N58" s="129" t="n"/>
      <c r="O58" s="128" t="n"/>
      <c r="P58" s="128" t="n"/>
      <c r="Q58" s="128" t="n"/>
      <c r="R58" s="129" t="n"/>
      <c r="S58" s="128" t="n"/>
      <c r="T58" s="128" t="n"/>
      <c r="U58" s="128" t="n"/>
      <c r="V58" s="129" t="n"/>
      <c r="W58" s="128" t="n"/>
      <c r="X58" s="128" t="n"/>
      <c r="Y58" s="128" t="n"/>
      <c r="Z58" s="129" t="n"/>
      <c r="AA58" s="129" t="n"/>
      <c r="AB58" s="129" t="n"/>
      <c r="AC58" s="128" t="n"/>
      <c r="AD58" s="128" t="n"/>
      <c r="AE58" s="128" t="n"/>
      <c r="AF58" s="128" t="n"/>
      <c r="AG58" s="128" t="n"/>
      <c r="AH58" s="129" t="n"/>
      <c r="AI58" s="129" t="n"/>
      <c r="AJ58" s="129" t="n"/>
      <c r="AK58" s="129" t="n"/>
      <c r="AL58" s="129" t="n"/>
      <c r="AM58" s="128" t="n"/>
      <c r="AN58" s="128" t="n"/>
      <c r="AO58" s="129" t="n"/>
      <c r="AP58" s="129" t="n"/>
      <c r="AQ58" s="128" t="n"/>
      <c r="AR58" s="129" t="n"/>
      <c r="AS58" s="128" t="n"/>
      <c r="AT58" s="128" t="n"/>
    </row>
    <row r="59" ht="17" customHeight="1" s="83">
      <c r="A59" s="53" t="n"/>
      <c r="B59" s="53" t="n"/>
      <c r="C59" s="130" t="n"/>
      <c r="D59" s="130" t="n"/>
      <c r="E59" s="130" t="n"/>
      <c r="F59" s="131" t="n"/>
      <c r="G59" s="130" t="n"/>
      <c r="H59" s="130" t="n"/>
      <c r="I59" s="130" t="n"/>
      <c r="J59" s="131" t="n"/>
      <c r="K59" s="130" t="n"/>
      <c r="L59" s="130" t="n"/>
      <c r="M59" s="130" t="n"/>
      <c r="N59" s="131" t="n"/>
      <c r="O59" s="130" t="n"/>
      <c r="P59" s="130" t="n"/>
      <c r="Q59" s="130" t="n"/>
      <c r="R59" s="131" t="n"/>
      <c r="S59" s="130" t="n"/>
      <c r="T59" s="130" t="n"/>
      <c r="U59" s="130" t="n"/>
      <c r="V59" s="131" t="n"/>
      <c r="W59" s="130" t="n"/>
      <c r="X59" s="130" t="n"/>
      <c r="Y59" s="130" t="n"/>
      <c r="Z59" s="131" t="n"/>
      <c r="AA59" s="131" t="n"/>
      <c r="AB59" s="131" t="n"/>
      <c r="AC59" s="130" t="n"/>
      <c r="AD59" s="130" t="n"/>
      <c r="AE59" s="130" t="n"/>
      <c r="AF59" s="130" t="n"/>
      <c r="AG59" s="130" t="n"/>
      <c r="AH59" s="131" t="n"/>
      <c r="AI59" s="131" t="n"/>
      <c r="AJ59" s="131" t="n"/>
      <c r="AK59" s="131" t="n"/>
      <c r="AL59" s="131" t="n"/>
      <c r="AM59" s="130" t="n"/>
      <c r="AN59" s="130" t="n"/>
      <c r="AO59" s="131" t="n"/>
      <c r="AP59" s="131" t="n"/>
      <c r="AQ59" s="130" t="n"/>
      <c r="AR59" s="131" t="n"/>
      <c r="AS59" s="130" t="n"/>
      <c r="AT59" s="130" t="n"/>
    </row>
    <row r="60" ht="17" customHeight="1" s="83">
      <c r="A60" s="53" t="n"/>
      <c r="B60" s="53" t="n"/>
      <c r="C60" s="128" t="n"/>
      <c r="D60" s="128" t="n"/>
      <c r="E60" s="128" t="n"/>
      <c r="F60" s="129" t="n"/>
      <c r="G60" s="128" t="n"/>
      <c r="H60" s="128" t="n"/>
      <c r="I60" s="128" t="n"/>
      <c r="J60" s="129" t="n"/>
      <c r="K60" s="128" t="n"/>
      <c r="L60" s="128" t="n"/>
      <c r="M60" s="128" t="n"/>
      <c r="N60" s="129" t="n"/>
      <c r="O60" s="128" t="n"/>
      <c r="P60" s="128" t="n"/>
      <c r="Q60" s="128" t="n"/>
      <c r="R60" s="129" t="n"/>
      <c r="S60" s="128" t="n"/>
      <c r="T60" s="128" t="n"/>
      <c r="U60" s="128" t="n"/>
      <c r="V60" s="129" t="n"/>
      <c r="W60" s="128" t="n"/>
      <c r="X60" s="128" t="n"/>
      <c r="Y60" s="128" t="n"/>
      <c r="Z60" s="129" t="n"/>
      <c r="AA60" s="129" t="n"/>
      <c r="AB60" s="129" t="n"/>
      <c r="AC60" s="128" t="n"/>
      <c r="AD60" s="128" t="n"/>
      <c r="AE60" s="128" t="n"/>
      <c r="AF60" s="128" t="n"/>
      <c r="AG60" s="128" t="n"/>
      <c r="AH60" s="129" t="n"/>
      <c r="AI60" s="129" t="n"/>
      <c r="AJ60" s="129" t="n"/>
      <c r="AK60" s="129" t="n"/>
      <c r="AL60" s="129" t="n"/>
      <c r="AM60" s="128" t="n"/>
      <c r="AN60" s="128" t="n"/>
      <c r="AO60" s="129" t="n"/>
      <c r="AP60" s="129" t="n"/>
      <c r="AQ60" s="128" t="n"/>
      <c r="AR60" s="129" t="n"/>
      <c r="AS60" s="128" t="n"/>
      <c r="AT60" s="128" t="n"/>
    </row>
    <row r="61" ht="17" customHeight="1" s="83">
      <c r="A61" s="53" t="n"/>
      <c r="B61" s="53" t="n"/>
      <c r="C61" s="130" t="n"/>
      <c r="D61" s="130" t="n"/>
      <c r="E61" s="130" t="n"/>
      <c r="F61" s="131" t="n"/>
      <c r="G61" s="130" t="n"/>
      <c r="H61" s="130" t="n"/>
      <c r="I61" s="130" t="n"/>
      <c r="J61" s="131" t="n"/>
      <c r="K61" s="130" t="n"/>
      <c r="L61" s="130" t="n"/>
      <c r="M61" s="130" t="n"/>
      <c r="N61" s="131" t="n"/>
      <c r="O61" s="130" t="n"/>
      <c r="P61" s="130" t="n"/>
      <c r="Q61" s="130" t="n"/>
      <c r="R61" s="131" t="n"/>
      <c r="S61" s="130" t="n"/>
      <c r="T61" s="130" t="n"/>
      <c r="U61" s="130" t="n"/>
      <c r="V61" s="131" t="n"/>
      <c r="W61" s="130" t="n"/>
      <c r="X61" s="130" t="n"/>
      <c r="Y61" s="130" t="n"/>
      <c r="Z61" s="131" t="n"/>
      <c r="AA61" s="131" t="n"/>
      <c r="AB61" s="131" t="n"/>
      <c r="AC61" s="130" t="n"/>
      <c r="AD61" s="130" t="n"/>
      <c r="AE61" s="130" t="n"/>
      <c r="AF61" s="130" t="n"/>
      <c r="AG61" s="130" t="n"/>
      <c r="AH61" s="131" t="n"/>
      <c r="AI61" s="131" t="n"/>
      <c r="AJ61" s="131" t="n"/>
      <c r="AK61" s="131" t="n"/>
      <c r="AL61" s="131" t="n"/>
      <c r="AM61" s="130" t="n"/>
      <c r="AN61" s="130" t="n"/>
      <c r="AO61" s="131" t="n"/>
      <c r="AP61" s="131" t="n"/>
      <c r="AQ61" s="130" t="n"/>
      <c r="AR61" s="131" t="n"/>
      <c r="AS61" s="130" t="n"/>
      <c r="AT61" s="130" t="n"/>
    </row>
    <row r="62" ht="17" customHeight="1" s="83">
      <c r="A62" s="53" t="n"/>
      <c r="B62" s="53" t="n"/>
      <c r="C62" s="128" t="n"/>
      <c r="D62" s="128" t="n"/>
      <c r="E62" s="128" t="n"/>
      <c r="F62" s="129" t="n"/>
      <c r="G62" s="128" t="n"/>
      <c r="H62" s="128" t="n"/>
      <c r="I62" s="128" t="n"/>
      <c r="J62" s="129" t="n"/>
      <c r="K62" s="128" t="n"/>
      <c r="L62" s="128" t="n"/>
      <c r="M62" s="128" t="n"/>
      <c r="N62" s="129" t="n"/>
      <c r="O62" s="128" t="n"/>
      <c r="P62" s="128" t="n"/>
      <c r="Q62" s="128" t="n"/>
      <c r="R62" s="129" t="n"/>
      <c r="S62" s="128" t="n"/>
      <c r="T62" s="128" t="n"/>
      <c r="U62" s="128" t="n"/>
      <c r="V62" s="129" t="n"/>
      <c r="W62" s="128" t="n"/>
      <c r="X62" s="128" t="n"/>
      <c r="Y62" s="128" t="n"/>
      <c r="Z62" s="129" t="n"/>
      <c r="AA62" s="129" t="n"/>
      <c r="AB62" s="129" t="n"/>
      <c r="AC62" s="128" t="n"/>
      <c r="AD62" s="128" t="n"/>
      <c r="AE62" s="128" t="n"/>
      <c r="AF62" s="128" t="n"/>
      <c r="AG62" s="128" t="n"/>
      <c r="AH62" s="129" t="n"/>
      <c r="AI62" s="129" t="n"/>
      <c r="AJ62" s="129" t="n"/>
      <c r="AK62" s="129" t="n"/>
      <c r="AL62" s="129" t="n"/>
      <c r="AM62" s="128" t="n"/>
      <c r="AN62" s="128" t="n"/>
      <c r="AO62" s="129" t="n"/>
      <c r="AP62" s="129" t="n"/>
      <c r="AQ62" s="128" t="n"/>
      <c r="AR62" s="129" t="n"/>
      <c r="AS62" s="128" t="n"/>
      <c r="AT62" s="128" t="n"/>
    </row>
    <row r="63" ht="18" customHeight="1" s="83">
      <c r="A63" s="47" t="n"/>
      <c r="B63" s="47" t="inlineStr">
        <is>
          <t>小計</t>
        </is>
      </c>
      <c r="C63" s="125" t="n">
        <v>97</v>
      </c>
      <c r="D63" s="125" t="n">
        <v>1</v>
      </c>
      <c r="E63" s="125" t="n">
        <v>22</v>
      </c>
      <c r="F63" s="132" t="n">
        <v>0.2371134020618557</v>
      </c>
      <c r="G63" s="125" t="n">
        <v>79</v>
      </c>
      <c r="H63" s="125" t="n">
        <v>1</v>
      </c>
      <c r="I63" s="125" t="n">
        <v>30</v>
      </c>
      <c r="J63" s="132" t="n">
        <v>0.3924050632911392</v>
      </c>
      <c r="K63" s="125" t="n">
        <v>38</v>
      </c>
      <c r="L63" s="125" t="n"/>
      <c r="M63" s="125" t="n"/>
      <c r="N63" s="132" t="n"/>
      <c r="O63" s="125" t="n"/>
      <c r="P63" s="125" t="n"/>
      <c r="Q63" s="125" t="n"/>
      <c r="R63" s="132" t="n"/>
      <c r="S63" s="125" t="n"/>
      <c r="T63" s="125" t="n"/>
      <c r="U63" s="125" t="n"/>
      <c r="V63" s="132" t="n"/>
      <c r="W63" s="125" t="n"/>
      <c r="X63" s="125" t="n"/>
      <c r="Y63" s="125" t="n"/>
      <c r="Z63" s="132" t="n"/>
      <c r="AA63" s="132" t="n"/>
      <c r="AB63" s="132" t="n"/>
      <c r="AC63" s="125" t="n"/>
      <c r="AD63" s="125" t="n"/>
      <c r="AE63" s="125" t="n"/>
      <c r="AF63" s="125" t="n"/>
      <c r="AG63" s="125" t="n"/>
      <c r="AH63" s="132" t="n"/>
      <c r="AI63" s="132" t="n"/>
      <c r="AJ63" s="132" t="n"/>
      <c r="AK63" s="132" t="n"/>
      <c r="AL63" s="132" t="n"/>
      <c r="AM63" s="125" t="n"/>
      <c r="AN63" s="125" t="n"/>
      <c r="AO63" s="132" t="n"/>
      <c r="AP63" s="132" t="n"/>
      <c r="AQ63" s="125" t="n"/>
      <c r="AR63" s="132" t="n"/>
      <c r="AS63" s="125" t="n"/>
      <c r="AT63" s="125" t="n"/>
    </row>
    <row r="64">
      <c r="A64" s="107" t="n"/>
      <c r="B64" s="107" t="n"/>
      <c r="C64" s="90" t="n"/>
      <c r="D64" s="90" t="n"/>
      <c r="E64" s="90" t="n"/>
      <c r="F64" s="90" t="n"/>
      <c r="G64" s="90" t="n"/>
      <c r="H64" s="90" t="n"/>
      <c r="I64" s="90" t="n"/>
      <c r="J64" s="90" t="n"/>
      <c r="K64" s="90" t="n"/>
      <c r="L64" s="90" t="n"/>
      <c r="M64" s="90" t="n"/>
      <c r="N64" s="90" t="n"/>
      <c r="O64" s="90" t="n"/>
      <c r="P64" s="90" t="n"/>
      <c r="Q64" s="90" t="n"/>
      <c r="R64" s="90" t="n"/>
      <c r="S64" s="90" t="n"/>
      <c r="T64" s="90" t="n"/>
      <c r="U64" s="90" t="n"/>
      <c r="V64" s="90" t="n"/>
      <c r="W64" s="90" t="n"/>
      <c r="X64" s="90" t="n"/>
      <c r="Y64" s="90" t="n"/>
      <c r="Z64" s="90" t="n"/>
      <c r="AA64" s="90" t="n"/>
      <c r="AB64" s="90" t="n"/>
      <c r="AC64" s="90" t="n"/>
      <c r="AD64" s="90" t="n"/>
      <c r="AE64" s="90" t="n"/>
      <c r="AF64" s="90" t="n"/>
      <c r="AG64" s="90" t="n"/>
      <c r="AH64" s="90" t="n"/>
      <c r="AI64" s="90" t="n"/>
      <c r="AJ64" s="90" t="n"/>
      <c r="AK64" s="90" t="n"/>
      <c r="AL64" s="90" t="n"/>
      <c r="AM64" s="90" t="n"/>
      <c r="AN64" s="90" t="n"/>
      <c r="AO64" s="90" t="n"/>
      <c r="AP64" s="90" t="n"/>
      <c r="AQ64" s="90" t="n"/>
      <c r="AR64" s="90" t="n"/>
      <c r="AS64" s="90" t="n"/>
      <c r="AT64" s="90" t="n"/>
    </row>
    <row r="65">
      <c r="A65" s="107" t="n"/>
      <c r="B65" s="107" t="n"/>
      <c r="C65" s="90" t="n"/>
      <c r="D65" s="90" t="n"/>
      <c r="E65" s="90" t="n"/>
      <c r="F65" s="90" t="n"/>
      <c r="G65" s="90" t="n"/>
      <c r="H65" s="90" t="n"/>
      <c r="I65" s="90" t="n"/>
      <c r="J65" s="90" t="n"/>
      <c r="K65" s="90" t="n"/>
      <c r="L65" s="90" t="n"/>
      <c r="M65" s="90" t="n"/>
      <c r="N65" s="90" t="n"/>
      <c r="O65" s="90" t="n"/>
      <c r="P65" s="90" t="n"/>
      <c r="Q65" s="90" t="n"/>
      <c r="R65" s="90" t="n"/>
      <c r="S65" s="90" t="n"/>
      <c r="T65" s="90" t="n"/>
      <c r="U65" s="90" t="n"/>
      <c r="V65" s="90" t="n"/>
      <c r="W65" s="90" t="n"/>
      <c r="X65" s="90" t="n"/>
      <c r="Y65" s="90" t="n"/>
      <c r="Z65" s="90" t="n"/>
      <c r="AA65" s="90" t="n"/>
      <c r="AB65" s="90" t="n"/>
      <c r="AC65" s="90" t="n"/>
      <c r="AD65" s="90" t="n"/>
      <c r="AE65" s="90" t="n"/>
      <c r="AF65" s="90" t="n"/>
      <c r="AG65" s="90" t="n"/>
      <c r="AH65" s="90" t="n"/>
      <c r="AI65" s="90" t="n"/>
      <c r="AJ65" s="90" t="n"/>
      <c r="AK65" s="90" t="n"/>
      <c r="AL65" s="90" t="n"/>
      <c r="AM65" s="90" t="n"/>
      <c r="AN65" s="90" t="n"/>
      <c r="AO65" s="90" t="n"/>
      <c r="AP65" s="90" t="n"/>
      <c r="AQ65" s="90" t="n"/>
      <c r="AR65" s="90" t="n"/>
      <c r="AS65" s="90" t="n"/>
      <c r="AT65" s="90" t="n"/>
    </row>
    <row r="66" ht="26" customHeight="1" s="83">
      <c r="A66" s="103" t="n"/>
      <c r="B66" s="103" t="inlineStr">
        <is>
          <t>阿波羅門市</t>
        </is>
      </c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  <c r="AB66" s="113" t="n"/>
      <c r="AC66" s="113" t="n"/>
      <c r="AD66" s="113" t="n"/>
      <c r="AE66" s="113" t="n"/>
      <c r="AF66" s="113" t="n"/>
      <c r="AG66" s="113" t="n"/>
      <c r="AH66" s="113" t="n"/>
      <c r="AI66" s="113" t="n"/>
      <c r="AJ66" s="113" t="n"/>
      <c r="AK66" s="113" t="n"/>
      <c r="AL66" s="113" t="n"/>
      <c r="AM66" s="113" t="n"/>
      <c r="AN66" s="113" t="n"/>
      <c r="AO66" s="113" t="n"/>
      <c r="AP66" s="113" t="n"/>
      <c r="AQ66" s="113" t="n"/>
      <c r="AR66" s="113" t="n"/>
      <c r="AS66" s="113" t="n"/>
      <c r="AT66" s="114" t="n"/>
    </row>
    <row r="67" ht="20" customHeight="1" s="83">
      <c r="A67" s="106" t="n"/>
      <c r="B67" s="81" t="inlineStr">
        <is>
          <t>本週</t>
        </is>
      </c>
      <c r="C67" s="91" t="inlineStr">
        <is>
          <t>iPhone</t>
        </is>
      </c>
      <c r="D67" s="113" t="n"/>
      <c r="E67" s="113" t="n"/>
      <c r="F67" s="114" t="n"/>
      <c r="G67" s="92" t="inlineStr">
        <is>
          <t>iPad</t>
        </is>
      </c>
      <c r="H67" s="113" t="n"/>
      <c r="I67" s="113" t="n"/>
      <c r="J67" s="114" t="n"/>
      <c r="K67" s="93" t="inlineStr">
        <is>
          <t>Watch</t>
        </is>
      </c>
      <c r="L67" s="113" t="n"/>
      <c r="M67" s="113" t="n"/>
      <c r="N67" s="114" t="n"/>
      <c r="O67" s="94" t="inlineStr">
        <is>
          <t>Mac</t>
        </is>
      </c>
      <c r="P67" s="113" t="n"/>
      <c r="Q67" s="113" t="n"/>
      <c r="R67" s="114" t="n"/>
      <c r="S67" s="95" t="inlineStr">
        <is>
          <t>AirPods</t>
        </is>
      </c>
      <c r="T67" s="113" t="n"/>
      <c r="U67" s="113" t="n"/>
      <c r="V67" s="114" t="n"/>
      <c r="W67" s="91" t="inlineStr">
        <is>
          <t>iPhone 配件</t>
        </is>
      </c>
      <c r="X67" s="113" t="n"/>
      <c r="Y67" s="113" t="n"/>
      <c r="Z67" s="113" t="n"/>
      <c r="AA67" s="113" t="n"/>
      <c r="AB67" s="114" t="n"/>
      <c r="AC67" s="92" t="inlineStr">
        <is>
          <t>iPad 配件</t>
        </is>
      </c>
      <c r="AD67" s="113" t="n"/>
      <c r="AE67" s="113" t="n"/>
      <c r="AF67" s="113" t="n"/>
      <c r="AG67" s="113" t="n"/>
      <c r="AH67" s="113" t="n"/>
      <c r="AI67" s="113" t="n"/>
      <c r="AJ67" s="113" t="n"/>
      <c r="AK67" s="113" t="n"/>
      <c r="AL67" s="114" t="n"/>
      <c r="AM67" s="93" t="inlineStr">
        <is>
          <t>Watch 配件</t>
        </is>
      </c>
      <c r="AN67" s="113" t="n"/>
      <c r="AO67" s="113" t="n"/>
      <c r="AP67" s="114" t="n"/>
      <c r="AQ67" s="95" t="inlineStr">
        <is>
          <t>AirPods 配件</t>
        </is>
      </c>
      <c r="AR67" s="114" t="n"/>
      <c r="AS67" s="89" t="inlineStr">
        <is>
          <t>喇叭</t>
        </is>
      </c>
      <c r="AT67" s="114" t="n"/>
    </row>
    <row r="68" ht="42" customHeight="1" s="83">
      <c r="A68" s="80" t="inlineStr">
        <is>
          <t>員工代碼</t>
        </is>
      </c>
      <c r="B68" s="60" t="inlineStr">
        <is>
          <t>員工名稱</t>
        </is>
      </c>
      <c r="C68" s="86" t="inlineStr">
        <is>
          <t>台數</t>
        </is>
      </c>
      <c r="D68" s="86" t="inlineStr">
        <is>
          <t>ACPP+</t>
        </is>
      </c>
      <c r="E68" s="86" t="inlineStr">
        <is>
          <t>SAcare</t>
        </is>
      </c>
      <c r="F68" s="86" t="inlineStr">
        <is>
          <t>合計率</t>
        </is>
      </c>
      <c r="G68" s="86" t="inlineStr">
        <is>
          <t>台數</t>
        </is>
      </c>
      <c r="H68" s="86" t="inlineStr">
        <is>
          <t>ACPP+</t>
        </is>
      </c>
      <c r="I68" s="86" t="inlineStr">
        <is>
          <t>SAcare</t>
        </is>
      </c>
      <c r="J68" s="86" t="inlineStr">
        <is>
          <t>合計率</t>
        </is>
      </c>
      <c r="K68" s="86" t="inlineStr">
        <is>
          <t>台數</t>
        </is>
      </c>
      <c r="L68" s="86" t="inlineStr">
        <is>
          <t>ACPP+</t>
        </is>
      </c>
      <c r="M68" s="86" t="inlineStr">
        <is>
          <t>SAcare</t>
        </is>
      </c>
      <c r="N68" s="86" t="inlineStr">
        <is>
          <t>合計率</t>
        </is>
      </c>
      <c r="O68" s="86" t="inlineStr">
        <is>
          <t>台數</t>
        </is>
      </c>
      <c r="P68" s="86" t="inlineStr">
        <is>
          <t>ACPP+</t>
        </is>
      </c>
      <c r="Q68" s="86" t="inlineStr">
        <is>
          <t>SAcare</t>
        </is>
      </c>
      <c r="R68" s="86" t="inlineStr">
        <is>
          <t>合計率</t>
        </is>
      </c>
      <c r="S68" s="86" t="inlineStr">
        <is>
          <t>台數</t>
        </is>
      </c>
      <c r="T68" s="86" t="inlineStr">
        <is>
          <t>ACPP+</t>
        </is>
      </c>
      <c r="U68" s="86" t="inlineStr">
        <is>
          <t>SAcare</t>
        </is>
      </c>
      <c r="V68" s="86" t="inlineStr">
        <is>
          <t>合計率</t>
        </is>
      </c>
      <c r="W68" s="86" t="inlineStr">
        <is>
          <t>保貼</t>
        </is>
      </c>
      <c r="X68" s="86" t="inlineStr">
        <is>
          <t>保護殼</t>
        </is>
      </c>
      <c r="Y68" s="86" t="inlineStr">
        <is>
          <t>鏡頭貼</t>
        </is>
      </c>
      <c r="Z68" s="86" t="inlineStr">
        <is>
          <t>保貼率</t>
        </is>
      </c>
      <c r="AA68" s="86" t="inlineStr">
        <is>
          <t>保護殼率</t>
        </is>
      </c>
      <c r="AB68" s="86" t="inlineStr">
        <is>
          <t>鏡頭貼率</t>
        </is>
      </c>
      <c r="AC68" s="86" t="inlineStr">
        <is>
          <t>原廠筆</t>
        </is>
      </c>
      <c r="AD68" s="86" t="inlineStr">
        <is>
          <t>副廠筆</t>
        </is>
      </c>
      <c r="AE68" s="86" t="inlineStr">
        <is>
          <t>保貼</t>
        </is>
      </c>
      <c r="AF68" s="86" t="inlineStr">
        <is>
          <t>保護殼</t>
        </is>
      </c>
      <c r="AG68" s="86" t="inlineStr">
        <is>
          <t>鍵盤</t>
        </is>
      </c>
      <c r="AH68" s="86" t="inlineStr">
        <is>
          <t>原廠筆率</t>
        </is>
      </c>
      <c r="AI68" s="86" t="inlineStr">
        <is>
          <t>副廠筆率</t>
        </is>
      </c>
      <c r="AJ68" s="86" t="inlineStr">
        <is>
          <t>保貼率</t>
        </is>
      </c>
      <c r="AK68" s="86" t="inlineStr">
        <is>
          <t>保護殼率</t>
        </is>
      </c>
      <c r="AL68" s="86" t="inlineStr">
        <is>
          <t>鍵盤率</t>
        </is>
      </c>
      <c r="AM68" s="86" t="inlineStr">
        <is>
          <t>保貼</t>
        </is>
      </c>
      <c r="AN68" s="86" t="inlineStr">
        <is>
          <t>錶帶</t>
        </is>
      </c>
      <c r="AO68" s="86" t="inlineStr">
        <is>
          <t>保貼率</t>
        </is>
      </c>
      <c r="AP68" s="86" t="inlineStr">
        <is>
          <t>錶帶率</t>
        </is>
      </c>
      <c r="AQ68" s="86" t="inlineStr">
        <is>
          <t>配件數</t>
        </is>
      </c>
      <c r="AR68" s="86" t="inlineStr">
        <is>
          <t>配件率</t>
        </is>
      </c>
      <c r="AS68" s="86" t="inlineStr">
        <is>
          <t>含Momax</t>
        </is>
      </c>
      <c r="AT68" s="86" t="inlineStr">
        <is>
          <t>不含Momax</t>
        </is>
      </c>
    </row>
    <row r="69" ht="17" customHeight="1" s="83">
      <c r="A69" s="53" t="n"/>
      <c r="B69" s="53" t="n"/>
      <c r="C69" s="128" t="n"/>
      <c r="D69" s="128" t="n"/>
      <c r="E69" s="128" t="n"/>
      <c r="F69" s="129" t="n"/>
      <c r="G69" s="128" t="n"/>
      <c r="H69" s="128" t="n"/>
      <c r="I69" s="128" t="n"/>
      <c r="J69" s="129" t="n"/>
      <c r="K69" s="128" t="n"/>
      <c r="L69" s="128" t="n"/>
      <c r="M69" s="128" t="n"/>
      <c r="N69" s="129" t="n"/>
      <c r="O69" s="128" t="n"/>
      <c r="P69" s="128" t="n"/>
      <c r="Q69" s="128" t="n"/>
      <c r="R69" s="129" t="n"/>
      <c r="S69" s="128" t="n"/>
      <c r="T69" s="128" t="n"/>
      <c r="U69" s="128" t="n"/>
      <c r="V69" s="129" t="n"/>
      <c r="W69" s="128" t="n"/>
      <c r="X69" s="128" t="n"/>
      <c r="Y69" s="128" t="n"/>
      <c r="Z69" s="129" t="n"/>
      <c r="AA69" s="129" t="n"/>
      <c r="AB69" s="129" t="n"/>
      <c r="AC69" s="128" t="n"/>
      <c r="AD69" s="128" t="n"/>
      <c r="AE69" s="128" t="n"/>
      <c r="AF69" s="128" t="n"/>
      <c r="AG69" s="128" t="n"/>
      <c r="AH69" s="129" t="n"/>
      <c r="AI69" s="129" t="n"/>
      <c r="AJ69" s="129" t="n"/>
      <c r="AK69" s="129" t="n"/>
      <c r="AL69" s="129" t="n"/>
      <c r="AM69" s="128" t="n"/>
      <c r="AN69" s="128" t="n"/>
      <c r="AO69" s="129" t="n"/>
      <c r="AP69" s="129" t="n"/>
      <c r="AQ69" s="128" t="n"/>
      <c r="AR69" s="129" t="n"/>
      <c r="AS69" s="128" t="n"/>
      <c r="AT69" s="128" t="n"/>
    </row>
    <row r="70" ht="17" customHeight="1" s="83">
      <c r="A70" s="53" t="n"/>
      <c r="B70" s="53" t="n"/>
      <c r="C70" s="130" t="n"/>
      <c r="D70" s="130" t="n"/>
      <c r="E70" s="130" t="n"/>
      <c r="F70" s="131" t="n"/>
      <c r="G70" s="130" t="n"/>
      <c r="H70" s="130" t="n"/>
      <c r="I70" s="130" t="n"/>
      <c r="J70" s="131" t="n"/>
      <c r="K70" s="130" t="n"/>
      <c r="L70" s="130" t="n"/>
      <c r="M70" s="130" t="n"/>
      <c r="N70" s="131" t="n"/>
      <c r="O70" s="130" t="n"/>
      <c r="P70" s="130" t="n"/>
      <c r="Q70" s="130" t="n"/>
      <c r="R70" s="131" t="n"/>
      <c r="S70" s="130" t="n"/>
      <c r="T70" s="130" t="n"/>
      <c r="U70" s="130" t="n"/>
      <c r="V70" s="131" t="n"/>
      <c r="W70" s="130" t="n"/>
      <c r="X70" s="130" t="n"/>
      <c r="Y70" s="130" t="n"/>
      <c r="Z70" s="131" t="n"/>
      <c r="AA70" s="131" t="n"/>
      <c r="AB70" s="131" t="n"/>
      <c r="AC70" s="130" t="n"/>
      <c r="AD70" s="130" t="n"/>
      <c r="AE70" s="130" t="n"/>
      <c r="AF70" s="130" t="n"/>
      <c r="AG70" s="130" t="n"/>
      <c r="AH70" s="131" t="n"/>
      <c r="AI70" s="131" t="n"/>
      <c r="AJ70" s="131" t="n"/>
      <c r="AK70" s="131" t="n"/>
      <c r="AL70" s="131" t="n"/>
      <c r="AM70" s="130" t="n"/>
      <c r="AN70" s="130" t="n"/>
      <c r="AO70" s="131" t="n"/>
      <c r="AP70" s="131" t="n"/>
      <c r="AQ70" s="130" t="n"/>
      <c r="AR70" s="131" t="n"/>
      <c r="AS70" s="130" t="n"/>
      <c r="AT70" s="130" t="n"/>
    </row>
    <row r="71" ht="17" customHeight="1" s="83">
      <c r="A71" s="53" t="n"/>
      <c r="B71" s="53" t="n"/>
      <c r="C71" s="128" t="n"/>
      <c r="D71" s="128" t="n"/>
      <c r="E71" s="128" t="n"/>
      <c r="F71" s="129" t="n"/>
      <c r="G71" s="128" t="n"/>
      <c r="H71" s="128" t="n"/>
      <c r="I71" s="128" t="n"/>
      <c r="J71" s="129" t="n"/>
      <c r="K71" s="128" t="n"/>
      <c r="L71" s="128" t="n"/>
      <c r="M71" s="128" t="n"/>
      <c r="N71" s="129" t="n"/>
      <c r="O71" s="128" t="n"/>
      <c r="P71" s="128" t="n"/>
      <c r="Q71" s="128" t="n"/>
      <c r="R71" s="129" t="n"/>
      <c r="S71" s="128" t="n"/>
      <c r="T71" s="128" t="n"/>
      <c r="U71" s="128" t="n"/>
      <c r="V71" s="129" t="n"/>
      <c r="W71" s="128" t="n"/>
      <c r="X71" s="128" t="n"/>
      <c r="Y71" s="128" t="n"/>
      <c r="Z71" s="129" t="n"/>
      <c r="AA71" s="129" t="n"/>
      <c r="AB71" s="129" t="n"/>
      <c r="AC71" s="128" t="n"/>
      <c r="AD71" s="128" t="n"/>
      <c r="AE71" s="128" t="n"/>
      <c r="AF71" s="128" t="n"/>
      <c r="AG71" s="128" t="n"/>
      <c r="AH71" s="129" t="n"/>
      <c r="AI71" s="129" t="n"/>
      <c r="AJ71" s="129" t="n"/>
      <c r="AK71" s="129" t="n"/>
      <c r="AL71" s="129" t="n"/>
      <c r="AM71" s="128" t="n"/>
      <c r="AN71" s="128" t="n"/>
      <c r="AO71" s="129" t="n"/>
      <c r="AP71" s="129" t="n"/>
      <c r="AQ71" s="128" t="n"/>
      <c r="AR71" s="129" t="n"/>
      <c r="AS71" s="128" t="n"/>
      <c r="AT71" s="128" t="n"/>
    </row>
    <row r="72" ht="17" customHeight="1" s="83">
      <c r="A72" s="53" t="n"/>
      <c r="B72" s="53" t="n"/>
      <c r="C72" s="130" t="n"/>
      <c r="D72" s="130" t="n"/>
      <c r="E72" s="130" t="n"/>
      <c r="F72" s="131" t="n"/>
      <c r="G72" s="130" t="n"/>
      <c r="H72" s="130" t="n"/>
      <c r="I72" s="130" t="n"/>
      <c r="J72" s="131" t="n"/>
      <c r="K72" s="130" t="n"/>
      <c r="L72" s="130" t="n"/>
      <c r="M72" s="130" t="n"/>
      <c r="N72" s="131" t="n"/>
      <c r="O72" s="130" t="n"/>
      <c r="P72" s="130" t="n"/>
      <c r="Q72" s="130" t="n"/>
      <c r="R72" s="131" t="n"/>
      <c r="S72" s="130" t="n"/>
      <c r="T72" s="130" t="n"/>
      <c r="U72" s="130" t="n"/>
      <c r="V72" s="131" t="n"/>
      <c r="W72" s="130" t="n"/>
      <c r="X72" s="130" t="n"/>
      <c r="Y72" s="130" t="n"/>
      <c r="Z72" s="131" t="n"/>
      <c r="AA72" s="131" t="n"/>
      <c r="AB72" s="131" t="n"/>
      <c r="AC72" s="130" t="n"/>
      <c r="AD72" s="130" t="n"/>
      <c r="AE72" s="130" t="n"/>
      <c r="AF72" s="130" t="n"/>
      <c r="AG72" s="130" t="n"/>
      <c r="AH72" s="131" t="n"/>
      <c r="AI72" s="131" t="n"/>
      <c r="AJ72" s="131" t="n"/>
      <c r="AK72" s="131" t="n"/>
      <c r="AL72" s="131" t="n"/>
      <c r="AM72" s="130" t="n"/>
      <c r="AN72" s="130" t="n"/>
      <c r="AO72" s="131" t="n"/>
      <c r="AP72" s="131" t="n"/>
      <c r="AQ72" s="130" t="n"/>
      <c r="AR72" s="131" t="n"/>
      <c r="AS72" s="130" t="n"/>
      <c r="AT72" s="130" t="n"/>
    </row>
    <row r="73" ht="17" customHeight="1" s="83">
      <c r="A73" s="53" t="n"/>
      <c r="B73" s="53" t="n"/>
      <c r="C73" s="128" t="n"/>
      <c r="D73" s="128" t="n"/>
      <c r="E73" s="128" t="n"/>
      <c r="F73" s="129" t="n"/>
      <c r="G73" s="128" t="n"/>
      <c r="H73" s="128" t="n"/>
      <c r="I73" s="128" t="n"/>
      <c r="J73" s="129" t="n"/>
      <c r="K73" s="128" t="n"/>
      <c r="L73" s="128" t="n"/>
      <c r="M73" s="128" t="n"/>
      <c r="N73" s="129" t="n"/>
      <c r="O73" s="128" t="n"/>
      <c r="P73" s="128" t="n"/>
      <c r="Q73" s="128" t="n"/>
      <c r="R73" s="129" t="n"/>
      <c r="S73" s="128" t="n"/>
      <c r="T73" s="128" t="n"/>
      <c r="U73" s="128" t="n"/>
      <c r="V73" s="129" t="n"/>
      <c r="W73" s="128" t="n"/>
      <c r="X73" s="128" t="n"/>
      <c r="Y73" s="128" t="n"/>
      <c r="Z73" s="129" t="n"/>
      <c r="AA73" s="129" t="n"/>
      <c r="AB73" s="129" t="n"/>
      <c r="AC73" s="128" t="n"/>
      <c r="AD73" s="128" t="n"/>
      <c r="AE73" s="128" t="n"/>
      <c r="AF73" s="128" t="n"/>
      <c r="AG73" s="128" t="n"/>
      <c r="AH73" s="129" t="n"/>
      <c r="AI73" s="129" t="n"/>
      <c r="AJ73" s="129" t="n"/>
      <c r="AK73" s="129" t="n"/>
      <c r="AL73" s="129" t="n"/>
      <c r="AM73" s="128" t="n"/>
      <c r="AN73" s="128" t="n"/>
      <c r="AO73" s="129" t="n"/>
      <c r="AP73" s="129" t="n"/>
      <c r="AQ73" s="128" t="n"/>
      <c r="AR73" s="129" t="n"/>
      <c r="AS73" s="128" t="n"/>
      <c r="AT73" s="128" t="n"/>
    </row>
    <row r="74" ht="17" customHeight="1" s="83">
      <c r="A74" s="53" t="n"/>
      <c r="B74" s="53" t="n"/>
      <c r="C74" s="130" t="n"/>
      <c r="D74" s="130" t="n"/>
      <c r="E74" s="130" t="n"/>
      <c r="F74" s="131" t="n"/>
      <c r="G74" s="130" t="n"/>
      <c r="H74" s="130" t="n"/>
      <c r="I74" s="130" t="n"/>
      <c r="J74" s="131" t="n"/>
      <c r="K74" s="130" t="n"/>
      <c r="L74" s="130" t="n"/>
      <c r="M74" s="130" t="n"/>
      <c r="N74" s="131" t="n"/>
      <c r="O74" s="130" t="n"/>
      <c r="P74" s="130" t="n"/>
      <c r="Q74" s="130" t="n"/>
      <c r="R74" s="131" t="n"/>
      <c r="S74" s="130" t="n"/>
      <c r="T74" s="130" t="n"/>
      <c r="U74" s="130" t="n"/>
      <c r="V74" s="131" t="n"/>
      <c r="W74" s="130" t="n"/>
      <c r="X74" s="130" t="n"/>
      <c r="Y74" s="130" t="n"/>
      <c r="Z74" s="131" t="n"/>
      <c r="AA74" s="131" t="n"/>
      <c r="AB74" s="131" t="n"/>
      <c r="AC74" s="130" t="n"/>
      <c r="AD74" s="130" t="n"/>
      <c r="AE74" s="130" t="n"/>
      <c r="AF74" s="130" t="n"/>
      <c r="AG74" s="130" t="n"/>
      <c r="AH74" s="131" t="n"/>
      <c r="AI74" s="131" t="n"/>
      <c r="AJ74" s="131" t="n"/>
      <c r="AK74" s="131" t="n"/>
      <c r="AL74" s="131" t="n"/>
      <c r="AM74" s="130" t="n"/>
      <c r="AN74" s="130" t="n"/>
      <c r="AO74" s="131" t="n"/>
      <c r="AP74" s="131" t="n"/>
      <c r="AQ74" s="130" t="n"/>
      <c r="AR74" s="131" t="n"/>
      <c r="AS74" s="130" t="n"/>
      <c r="AT74" s="130" t="n"/>
    </row>
    <row r="75" ht="17" customHeight="1" s="83">
      <c r="A75" s="53" t="n"/>
      <c r="B75" s="53" t="n"/>
      <c r="C75" s="128" t="n"/>
      <c r="D75" s="128" t="n"/>
      <c r="E75" s="128" t="n"/>
      <c r="F75" s="129" t="n"/>
      <c r="G75" s="128" t="n"/>
      <c r="H75" s="128" t="n"/>
      <c r="I75" s="128" t="n"/>
      <c r="J75" s="129" t="n"/>
      <c r="K75" s="128" t="n"/>
      <c r="L75" s="128" t="n"/>
      <c r="M75" s="128" t="n"/>
      <c r="N75" s="129" t="n"/>
      <c r="O75" s="128" t="n"/>
      <c r="P75" s="128" t="n"/>
      <c r="Q75" s="128" t="n"/>
      <c r="R75" s="129" t="n"/>
      <c r="S75" s="128" t="n"/>
      <c r="T75" s="128" t="n"/>
      <c r="U75" s="128" t="n"/>
      <c r="V75" s="129" t="n"/>
      <c r="W75" s="128" t="n"/>
      <c r="X75" s="128" t="n"/>
      <c r="Y75" s="128" t="n"/>
      <c r="Z75" s="129" t="n"/>
      <c r="AA75" s="129" t="n"/>
      <c r="AB75" s="129" t="n"/>
      <c r="AC75" s="128" t="n"/>
      <c r="AD75" s="128" t="n"/>
      <c r="AE75" s="128" t="n"/>
      <c r="AF75" s="128" t="n"/>
      <c r="AG75" s="128" t="n"/>
      <c r="AH75" s="129" t="n"/>
      <c r="AI75" s="129" t="n"/>
      <c r="AJ75" s="129" t="n"/>
      <c r="AK75" s="129" t="n"/>
      <c r="AL75" s="129" t="n"/>
      <c r="AM75" s="128" t="n"/>
      <c r="AN75" s="128" t="n"/>
      <c r="AO75" s="129" t="n"/>
      <c r="AP75" s="129" t="n"/>
      <c r="AQ75" s="128" t="n"/>
      <c r="AR75" s="129" t="n"/>
      <c r="AS75" s="128" t="n"/>
      <c r="AT75" s="128" t="n"/>
    </row>
    <row r="76" ht="17" customHeight="1" s="83">
      <c r="A76" s="53" t="n"/>
      <c r="B76" s="53" t="n"/>
      <c r="C76" s="130" t="n"/>
      <c r="D76" s="130" t="n"/>
      <c r="E76" s="130" t="n"/>
      <c r="F76" s="131" t="n"/>
      <c r="G76" s="130" t="n"/>
      <c r="H76" s="130" t="n"/>
      <c r="I76" s="130" t="n"/>
      <c r="J76" s="131" t="n"/>
      <c r="K76" s="130" t="n"/>
      <c r="L76" s="130" t="n"/>
      <c r="M76" s="130" t="n"/>
      <c r="N76" s="131" t="n"/>
      <c r="O76" s="130" t="n"/>
      <c r="P76" s="130" t="n"/>
      <c r="Q76" s="130" t="n"/>
      <c r="R76" s="131" t="n"/>
      <c r="S76" s="130" t="n"/>
      <c r="T76" s="130" t="n"/>
      <c r="U76" s="130" t="n"/>
      <c r="V76" s="131" t="n"/>
      <c r="W76" s="130" t="n"/>
      <c r="X76" s="130" t="n"/>
      <c r="Y76" s="130" t="n"/>
      <c r="Z76" s="131" t="n"/>
      <c r="AA76" s="131" t="n"/>
      <c r="AB76" s="131" t="n"/>
      <c r="AC76" s="130" t="n"/>
      <c r="AD76" s="130" t="n"/>
      <c r="AE76" s="130" t="n"/>
      <c r="AF76" s="130" t="n"/>
      <c r="AG76" s="130" t="n"/>
      <c r="AH76" s="131" t="n"/>
      <c r="AI76" s="131" t="n"/>
      <c r="AJ76" s="131" t="n"/>
      <c r="AK76" s="131" t="n"/>
      <c r="AL76" s="131" t="n"/>
      <c r="AM76" s="130" t="n"/>
      <c r="AN76" s="130" t="n"/>
      <c r="AO76" s="131" t="n"/>
      <c r="AP76" s="131" t="n"/>
      <c r="AQ76" s="130" t="n"/>
      <c r="AR76" s="131" t="n"/>
      <c r="AS76" s="130" t="n"/>
      <c r="AT76" s="130" t="n"/>
    </row>
    <row r="77" ht="18" customHeight="1" s="83">
      <c r="A77" s="47" t="n"/>
      <c r="B77" s="47" t="inlineStr">
        <is>
          <t>小計</t>
        </is>
      </c>
      <c r="C77" s="125" t="n"/>
      <c r="D77" s="125" t="n"/>
      <c r="E77" s="125" t="n"/>
      <c r="F77" s="132" t="n"/>
      <c r="G77" s="125" t="n"/>
      <c r="H77" s="125" t="n"/>
      <c r="I77" s="125" t="n"/>
      <c r="J77" s="132" t="n"/>
      <c r="K77" s="125" t="n"/>
      <c r="L77" s="125" t="n"/>
      <c r="M77" s="125" t="n"/>
      <c r="N77" s="132" t="n"/>
      <c r="O77" s="125" t="n"/>
      <c r="P77" s="125" t="n"/>
      <c r="Q77" s="125" t="n"/>
      <c r="R77" s="132" t="n"/>
      <c r="S77" s="125" t="n"/>
      <c r="T77" s="125" t="n"/>
      <c r="U77" s="125" t="n"/>
      <c r="V77" s="132" t="n"/>
      <c r="W77" s="125" t="n"/>
      <c r="X77" s="125" t="n"/>
      <c r="Y77" s="125" t="n"/>
      <c r="Z77" s="132" t="n"/>
      <c r="AA77" s="132" t="n"/>
      <c r="AB77" s="132" t="n"/>
      <c r="AC77" s="125" t="n"/>
      <c r="AD77" s="125" t="n"/>
      <c r="AE77" s="125" t="n"/>
      <c r="AF77" s="125" t="n"/>
      <c r="AG77" s="125" t="n"/>
      <c r="AH77" s="132" t="n"/>
      <c r="AI77" s="132" t="n"/>
      <c r="AJ77" s="132" t="n"/>
      <c r="AK77" s="132" t="n"/>
      <c r="AL77" s="132" t="n"/>
      <c r="AM77" s="125" t="n"/>
      <c r="AN77" s="125" t="n"/>
      <c r="AO77" s="132" t="n"/>
      <c r="AP77" s="132" t="n"/>
      <c r="AQ77" s="125" t="n"/>
      <c r="AR77" s="132" t="n"/>
      <c r="AS77" s="125" t="n"/>
      <c r="AT77" s="125" t="n"/>
    </row>
    <row r="78" ht="20" customHeight="1" s="83">
      <c r="A78" s="106" t="n"/>
      <c r="B78" s="81" t="inlineStr">
        <is>
          <t>月累積</t>
        </is>
      </c>
      <c r="C78" s="91" t="inlineStr">
        <is>
          <t>iPhone</t>
        </is>
      </c>
      <c r="D78" s="113" t="n"/>
      <c r="E78" s="113" t="n"/>
      <c r="F78" s="114" t="n"/>
      <c r="G78" s="92" t="inlineStr">
        <is>
          <t>iPad</t>
        </is>
      </c>
      <c r="H78" s="113" t="n"/>
      <c r="I78" s="113" t="n"/>
      <c r="J78" s="114" t="n"/>
      <c r="K78" s="93" t="inlineStr">
        <is>
          <t>Watch</t>
        </is>
      </c>
      <c r="L78" s="113" t="n"/>
      <c r="M78" s="113" t="n"/>
      <c r="N78" s="114" t="n"/>
      <c r="O78" s="94" t="inlineStr">
        <is>
          <t>Mac</t>
        </is>
      </c>
      <c r="P78" s="113" t="n"/>
      <c r="Q78" s="113" t="n"/>
      <c r="R78" s="114" t="n"/>
      <c r="S78" s="95" t="inlineStr">
        <is>
          <t>AirPods</t>
        </is>
      </c>
      <c r="T78" s="113" t="n"/>
      <c r="U78" s="113" t="n"/>
      <c r="V78" s="114" t="n"/>
      <c r="W78" s="91" t="inlineStr">
        <is>
          <t>iPhone 配件</t>
        </is>
      </c>
      <c r="X78" s="113" t="n"/>
      <c r="Y78" s="113" t="n"/>
      <c r="Z78" s="113" t="n"/>
      <c r="AA78" s="113" t="n"/>
      <c r="AB78" s="114" t="n"/>
      <c r="AC78" s="92" t="inlineStr">
        <is>
          <t>iPad 配件</t>
        </is>
      </c>
      <c r="AD78" s="113" t="n"/>
      <c r="AE78" s="113" t="n"/>
      <c r="AF78" s="113" t="n"/>
      <c r="AG78" s="113" t="n"/>
      <c r="AH78" s="113" t="n"/>
      <c r="AI78" s="113" t="n"/>
      <c r="AJ78" s="113" t="n"/>
      <c r="AK78" s="113" t="n"/>
      <c r="AL78" s="114" t="n"/>
      <c r="AM78" s="93" t="inlineStr">
        <is>
          <t>Watch 配件</t>
        </is>
      </c>
      <c r="AN78" s="113" t="n"/>
      <c r="AO78" s="113" t="n"/>
      <c r="AP78" s="114" t="n"/>
      <c r="AQ78" s="95" t="inlineStr">
        <is>
          <t>AirPods 配件</t>
        </is>
      </c>
      <c r="AR78" s="114" t="n"/>
      <c r="AS78" s="89" t="inlineStr">
        <is>
          <t>喇叭</t>
        </is>
      </c>
      <c r="AT78" s="114" t="n"/>
    </row>
    <row r="79" ht="42" customHeight="1" s="83">
      <c r="A79" s="60" t="n"/>
      <c r="B79" s="60" t="inlineStr">
        <is>
          <t>員工名稱</t>
        </is>
      </c>
      <c r="C79" s="86" t="inlineStr">
        <is>
          <t>台數</t>
        </is>
      </c>
      <c r="D79" s="86" t="inlineStr">
        <is>
          <t>ACPP+</t>
        </is>
      </c>
      <c r="E79" s="86" t="inlineStr">
        <is>
          <t>SAcare</t>
        </is>
      </c>
      <c r="F79" s="86" t="inlineStr">
        <is>
          <t>合計率</t>
        </is>
      </c>
      <c r="G79" s="86" t="inlineStr">
        <is>
          <t>台數</t>
        </is>
      </c>
      <c r="H79" s="86" t="inlineStr">
        <is>
          <t>ACPP+</t>
        </is>
      </c>
      <c r="I79" s="86" t="inlineStr">
        <is>
          <t>SAcare</t>
        </is>
      </c>
      <c r="J79" s="86" t="inlineStr">
        <is>
          <t>合計率</t>
        </is>
      </c>
      <c r="K79" s="86" t="inlineStr">
        <is>
          <t>台數</t>
        </is>
      </c>
      <c r="L79" s="86" t="inlineStr">
        <is>
          <t>ACPP+</t>
        </is>
      </c>
      <c r="M79" s="86" t="inlineStr">
        <is>
          <t>SAcare</t>
        </is>
      </c>
      <c r="N79" s="86" t="inlineStr">
        <is>
          <t>合計率</t>
        </is>
      </c>
      <c r="O79" s="86" t="inlineStr">
        <is>
          <t>台數</t>
        </is>
      </c>
      <c r="P79" s="86" t="inlineStr">
        <is>
          <t>ACPP+</t>
        </is>
      </c>
      <c r="Q79" s="86" t="inlineStr">
        <is>
          <t>SAcare</t>
        </is>
      </c>
      <c r="R79" s="86" t="inlineStr">
        <is>
          <t>合計率</t>
        </is>
      </c>
      <c r="S79" s="86" t="inlineStr">
        <is>
          <t>台數</t>
        </is>
      </c>
      <c r="T79" s="86" t="inlineStr">
        <is>
          <t>ACPP+</t>
        </is>
      </c>
      <c r="U79" s="86" t="inlineStr">
        <is>
          <t>SAcare</t>
        </is>
      </c>
      <c r="V79" s="86" t="inlineStr">
        <is>
          <t>合計率</t>
        </is>
      </c>
      <c r="W79" s="86" t="inlineStr">
        <is>
          <t>保貼</t>
        </is>
      </c>
      <c r="X79" s="86" t="inlineStr">
        <is>
          <t>保護殼</t>
        </is>
      </c>
      <c r="Y79" s="86" t="inlineStr">
        <is>
          <t>鏡頭貼</t>
        </is>
      </c>
      <c r="Z79" s="86" t="inlineStr">
        <is>
          <t>保貼率</t>
        </is>
      </c>
      <c r="AA79" s="86" t="inlineStr">
        <is>
          <t>保護殼率</t>
        </is>
      </c>
      <c r="AB79" s="86" t="inlineStr">
        <is>
          <t>鏡頭貼率</t>
        </is>
      </c>
      <c r="AC79" s="86" t="inlineStr">
        <is>
          <t>原廠筆</t>
        </is>
      </c>
      <c r="AD79" s="86" t="inlineStr">
        <is>
          <t>副廠筆</t>
        </is>
      </c>
      <c r="AE79" s="86" t="inlineStr">
        <is>
          <t>保貼</t>
        </is>
      </c>
      <c r="AF79" s="86" t="inlineStr">
        <is>
          <t>保護殼</t>
        </is>
      </c>
      <c r="AG79" s="86" t="inlineStr">
        <is>
          <t>鍵盤</t>
        </is>
      </c>
      <c r="AH79" s="86" t="inlineStr">
        <is>
          <t>原廠筆率</t>
        </is>
      </c>
      <c r="AI79" s="86" t="inlineStr">
        <is>
          <t>副廠筆率</t>
        </is>
      </c>
      <c r="AJ79" s="86" t="inlineStr">
        <is>
          <t>保貼率</t>
        </is>
      </c>
      <c r="AK79" s="86" t="inlineStr">
        <is>
          <t>保護殼率</t>
        </is>
      </c>
      <c r="AL79" s="86" t="inlineStr">
        <is>
          <t>鍵盤率</t>
        </is>
      </c>
      <c r="AM79" s="86" t="inlineStr">
        <is>
          <t>保貼</t>
        </is>
      </c>
      <c r="AN79" s="86" t="inlineStr">
        <is>
          <t>錶帶</t>
        </is>
      </c>
      <c r="AO79" s="86" t="inlineStr">
        <is>
          <t>保貼率</t>
        </is>
      </c>
      <c r="AP79" s="86" t="inlineStr">
        <is>
          <t>錶帶率</t>
        </is>
      </c>
      <c r="AQ79" s="86" t="inlineStr">
        <is>
          <t>配件數</t>
        </is>
      </c>
      <c r="AR79" s="86" t="inlineStr">
        <is>
          <t>配件率</t>
        </is>
      </c>
      <c r="AS79" s="86" t="inlineStr">
        <is>
          <t>含Momax</t>
        </is>
      </c>
      <c r="AT79" s="86" t="inlineStr">
        <is>
          <t>不含Momax</t>
        </is>
      </c>
    </row>
    <row r="80" ht="17" customHeight="1" s="83">
      <c r="A80" s="53" t="n"/>
      <c r="B80" s="53" t="n"/>
      <c r="C80" s="128" t="n"/>
      <c r="D80" s="128" t="n"/>
      <c r="E80" s="128" t="n"/>
      <c r="F80" s="129" t="n"/>
      <c r="G80" s="128" t="n"/>
      <c r="H80" s="128" t="n"/>
      <c r="I80" s="128" t="n"/>
      <c r="J80" s="129" t="n"/>
      <c r="K80" s="128" t="n"/>
      <c r="L80" s="128" t="n"/>
      <c r="M80" s="128" t="n"/>
      <c r="N80" s="129" t="n"/>
      <c r="O80" s="128" t="n"/>
      <c r="P80" s="128" t="n"/>
      <c r="Q80" s="128" t="n"/>
      <c r="R80" s="129" t="n"/>
      <c r="S80" s="128" t="n"/>
      <c r="T80" s="128" t="n"/>
      <c r="U80" s="128" t="n"/>
      <c r="V80" s="129" t="n"/>
      <c r="W80" s="128" t="n"/>
      <c r="X80" s="128" t="n"/>
      <c r="Y80" s="128" t="n"/>
      <c r="Z80" s="129" t="n"/>
      <c r="AA80" s="129" t="n"/>
      <c r="AB80" s="129" t="n"/>
      <c r="AC80" s="128" t="n"/>
      <c r="AD80" s="128" t="n"/>
      <c r="AE80" s="128" t="n"/>
      <c r="AF80" s="128" t="n"/>
      <c r="AG80" s="128" t="n"/>
      <c r="AH80" s="129" t="n"/>
      <c r="AI80" s="129" t="n"/>
      <c r="AJ80" s="129" t="n"/>
      <c r="AK80" s="129" t="n"/>
      <c r="AL80" s="129" t="n"/>
      <c r="AM80" s="128" t="n"/>
      <c r="AN80" s="128" t="n"/>
      <c r="AO80" s="129" t="n"/>
      <c r="AP80" s="129" t="n"/>
      <c r="AQ80" s="128" t="n"/>
      <c r="AR80" s="129" t="n"/>
      <c r="AS80" s="128" t="n"/>
      <c r="AT80" s="128" t="n"/>
    </row>
    <row r="81" ht="17" customHeight="1" s="83">
      <c r="A81" s="53" t="n"/>
      <c r="B81" s="53" t="n"/>
      <c r="C81" s="130" t="n"/>
      <c r="D81" s="130" t="n"/>
      <c r="E81" s="130" t="n"/>
      <c r="F81" s="131" t="n"/>
      <c r="G81" s="130" t="n"/>
      <c r="H81" s="130" t="n"/>
      <c r="I81" s="130" t="n"/>
      <c r="J81" s="131" t="n"/>
      <c r="K81" s="130" t="n"/>
      <c r="L81" s="130" t="n"/>
      <c r="M81" s="130" t="n"/>
      <c r="N81" s="131" t="n"/>
      <c r="O81" s="130" t="n"/>
      <c r="P81" s="130" t="n"/>
      <c r="Q81" s="130" t="n"/>
      <c r="R81" s="131" t="n"/>
      <c r="S81" s="130" t="n"/>
      <c r="T81" s="130" t="n"/>
      <c r="U81" s="130" t="n"/>
      <c r="V81" s="131" t="n"/>
      <c r="W81" s="130" t="n"/>
      <c r="X81" s="130" t="n"/>
      <c r="Y81" s="130" t="n"/>
      <c r="Z81" s="131" t="n"/>
      <c r="AA81" s="131" t="n"/>
      <c r="AB81" s="131" t="n"/>
      <c r="AC81" s="130" t="n"/>
      <c r="AD81" s="130" t="n"/>
      <c r="AE81" s="130" t="n"/>
      <c r="AF81" s="130" t="n"/>
      <c r="AG81" s="130" t="n"/>
      <c r="AH81" s="131" t="n"/>
      <c r="AI81" s="131" t="n"/>
      <c r="AJ81" s="131" t="n"/>
      <c r="AK81" s="131" t="n"/>
      <c r="AL81" s="131" t="n"/>
      <c r="AM81" s="130" t="n"/>
      <c r="AN81" s="130" t="n"/>
      <c r="AO81" s="131" t="n"/>
      <c r="AP81" s="131" t="n"/>
      <c r="AQ81" s="130" t="n"/>
      <c r="AR81" s="131" t="n"/>
      <c r="AS81" s="130" t="n"/>
      <c r="AT81" s="130" t="n"/>
    </row>
    <row r="82" ht="17" customHeight="1" s="83">
      <c r="A82" s="53" t="n"/>
      <c r="B82" s="53" t="n"/>
      <c r="C82" s="128" t="n"/>
      <c r="D82" s="128" t="n"/>
      <c r="E82" s="128" t="n"/>
      <c r="F82" s="129" t="n"/>
      <c r="G82" s="128" t="n"/>
      <c r="H82" s="128" t="n"/>
      <c r="I82" s="128" t="n"/>
      <c r="J82" s="129" t="n"/>
      <c r="K82" s="128" t="n"/>
      <c r="L82" s="128" t="n"/>
      <c r="M82" s="128" t="n"/>
      <c r="N82" s="129" t="n"/>
      <c r="O82" s="128" t="n"/>
      <c r="P82" s="128" t="n"/>
      <c r="Q82" s="128" t="n"/>
      <c r="R82" s="129" t="n"/>
      <c r="S82" s="128" t="n"/>
      <c r="T82" s="128" t="n"/>
      <c r="U82" s="128" t="n"/>
      <c r="V82" s="129" t="n"/>
      <c r="W82" s="128" t="n"/>
      <c r="X82" s="128" t="n"/>
      <c r="Y82" s="128" t="n"/>
      <c r="Z82" s="129" t="n"/>
      <c r="AA82" s="129" t="n"/>
      <c r="AB82" s="129" t="n"/>
      <c r="AC82" s="128" t="n"/>
      <c r="AD82" s="128" t="n"/>
      <c r="AE82" s="128" t="n"/>
      <c r="AF82" s="128" t="n"/>
      <c r="AG82" s="128" t="n"/>
      <c r="AH82" s="129" t="n"/>
      <c r="AI82" s="129" t="n"/>
      <c r="AJ82" s="129" t="n"/>
      <c r="AK82" s="129" t="n"/>
      <c r="AL82" s="129" t="n"/>
      <c r="AM82" s="128" t="n"/>
      <c r="AN82" s="128" t="n"/>
      <c r="AO82" s="129" t="n"/>
      <c r="AP82" s="129" t="n"/>
      <c r="AQ82" s="128" t="n"/>
      <c r="AR82" s="129" t="n"/>
      <c r="AS82" s="128" t="n"/>
      <c r="AT82" s="128" t="n"/>
    </row>
    <row r="83" ht="17" customHeight="1" s="83">
      <c r="A83" s="53" t="n"/>
      <c r="B83" s="53" t="n"/>
      <c r="C83" s="130" t="n"/>
      <c r="D83" s="130" t="n"/>
      <c r="E83" s="130" t="n"/>
      <c r="F83" s="131" t="n"/>
      <c r="G83" s="130" t="n"/>
      <c r="H83" s="130" t="n"/>
      <c r="I83" s="130" t="n"/>
      <c r="J83" s="131" t="n"/>
      <c r="K83" s="130" t="n"/>
      <c r="L83" s="130" t="n"/>
      <c r="M83" s="130" t="n"/>
      <c r="N83" s="131" t="n"/>
      <c r="O83" s="130" t="n"/>
      <c r="P83" s="130" t="n"/>
      <c r="Q83" s="130" t="n"/>
      <c r="R83" s="131" t="n"/>
      <c r="S83" s="130" t="n"/>
      <c r="T83" s="130" t="n"/>
      <c r="U83" s="130" t="n"/>
      <c r="V83" s="131" t="n"/>
      <c r="W83" s="130" t="n"/>
      <c r="X83" s="130" t="n"/>
      <c r="Y83" s="130" t="n"/>
      <c r="Z83" s="131" t="n"/>
      <c r="AA83" s="131" t="n"/>
      <c r="AB83" s="131" t="n"/>
      <c r="AC83" s="130" t="n"/>
      <c r="AD83" s="130" t="n"/>
      <c r="AE83" s="130" t="n"/>
      <c r="AF83" s="130" t="n"/>
      <c r="AG83" s="130" t="n"/>
      <c r="AH83" s="131" t="n"/>
      <c r="AI83" s="131" t="n"/>
      <c r="AJ83" s="131" t="n"/>
      <c r="AK83" s="131" t="n"/>
      <c r="AL83" s="131" t="n"/>
      <c r="AM83" s="130" t="n"/>
      <c r="AN83" s="130" t="n"/>
      <c r="AO83" s="131" t="n"/>
      <c r="AP83" s="131" t="n"/>
      <c r="AQ83" s="130" t="n"/>
      <c r="AR83" s="131" t="n"/>
      <c r="AS83" s="130" t="n"/>
      <c r="AT83" s="130" t="n"/>
    </row>
    <row r="84" ht="17" customHeight="1" s="83">
      <c r="A84" s="53" t="n"/>
      <c r="B84" s="53" t="n"/>
      <c r="C84" s="128" t="n"/>
      <c r="D84" s="128" t="n"/>
      <c r="E84" s="128" t="n"/>
      <c r="F84" s="129" t="n"/>
      <c r="G84" s="128" t="n"/>
      <c r="H84" s="128" t="n"/>
      <c r="I84" s="128" t="n"/>
      <c r="J84" s="129" t="n"/>
      <c r="K84" s="128" t="n"/>
      <c r="L84" s="128" t="n"/>
      <c r="M84" s="128" t="n"/>
      <c r="N84" s="129" t="n"/>
      <c r="O84" s="128" t="n"/>
      <c r="P84" s="128" t="n"/>
      <c r="Q84" s="128" t="n"/>
      <c r="R84" s="129" t="n"/>
      <c r="S84" s="128" t="n"/>
      <c r="T84" s="128" t="n"/>
      <c r="U84" s="128" t="n"/>
      <c r="V84" s="129" t="n"/>
      <c r="W84" s="128" t="n"/>
      <c r="X84" s="128" t="n"/>
      <c r="Y84" s="128" t="n"/>
      <c r="Z84" s="129" t="n"/>
      <c r="AA84" s="129" t="n"/>
      <c r="AB84" s="129" t="n"/>
      <c r="AC84" s="128" t="n"/>
      <c r="AD84" s="128" t="n"/>
      <c r="AE84" s="128" t="n"/>
      <c r="AF84" s="128" t="n"/>
      <c r="AG84" s="128" t="n"/>
      <c r="AH84" s="129" t="n"/>
      <c r="AI84" s="129" t="n"/>
      <c r="AJ84" s="129" t="n"/>
      <c r="AK84" s="129" t="n"/>
      <c r="AL84" s="129" t="n"/>
      <c r="AM84" s="128" t="n"/>
      <c r="AN84" s="128" t="n"/>
      <c r="AO84" s="129" t="n"/>
      <c r="AP84" s="129" t="n"/>
      <c r="AQ84" s="128" t="n"/>
      <c r="AR84" s="129" t="n"/>
      <c r="AS84" s="128" t="n"/>
      <c r="AT84" s="128" t="n"/>
    </row>
    <row r="85" ht="17" customHeight="1" s="83">
      <c r="A85" s="53" t="n"/>
      <c r="B85" s="53" t="n"/>
      <c r="C85" s="130" t="n"/>
      <c r="D85" s="130" t="n"/>
      <c r="E85" s="130" t="n"/>
      <c r="F85" s="131" t="n"/>
      <c r="G85" s="130" t="n"/>
      <c r="H85" s="130" t="n"/>
      <c r="I85" s="130" t="n"/>
      <c r="J85" s="131" t="n"/>
      <c r="K85" s="130" t="n"/>
      <c r="L85" s="130" t="n"/>
      <c r="M85" s="130" t="n"/>
      <c r="N85" s="131" t="n"/>
      <c r="O85" s="130" t="n"/>
      <c r="P85" s="130" t="n"/>
      <c r="Q85" s="130" t="n"/>
      <c r="R85" s="131" t="n"/>
      <c r="S85" s="130" t="n"/>
      <c r="T85" s="130" t="n"/>
      <c r="U85" s="130" t="n"/>
      <c r="V85" s="131" t="n"/>
      <c r="W85" s="130" t="n"/>
      <c r="X85" s="130" t="n"/>
      <c r="Y85" s="130" t="n"/>
      <c r="Z85" s="131" t="n"/>
      <c r="AA85" s="131" t="n"/>
      <c r="AB85" s="131" t="n"/>
      <c r="AC85" s="130" t="n"/>
      <c r="AD85" s="130" t="n"/>
      <c r="AE85" s="130" t="n"/>
      <c r="AF85" s="130" t="n"/>
      <c r="AG85" s="130" t="n"/>
      <c r="AH85" s="131" t="n"/>
      <c r="AI85" s="131" t="n"/>
      <c r="AJ85" s="131" t="n"/>
      <c r="AK85" s="131" t="n"/>
      <c r="AL85" s="131" t="n"/>
      <c r="AM85" s="130" t="n"/>
      <c r="AN85" s="130" t="n"/>
      <c r="AO85" s="131" t="n"/>
      <c r="AP85" s="131" t="n"/>
      <c r="AQ85" s="130" t="n"/>
      <c r="AR85" s="131" t="n"/>
      <c r="AS85" s="130" t="n"/>
      <c r="AT85" s="130" t="n"/>
    </row>
    <row r="86" ht="17" customHeight="1" s="83">
      <c r="A86" s="53" t="n"/>
      <c r="B86" s="53" t="n"/>
      <c r="C86" s="128" t="n"/>
      <c r="D86" s="128" t="n"/>
      <c r="E86" s="128" t="n"/>
      <c r="F86" s="129" t="n"/>
      <c r="G86" s="128" t="n"/>
      <c r="H86" s="128" t="n"/>
      <c r="I86" s="128" t="n"/>
      <c r="J86" s="129" t="n"/>
      <c r="K86" s="128" t="n"/>
      <c r="L86" s="128" t="n"/>
      <c r="M86" s="128" t="n"/>
      <c r="N86" s="129" t="n"/>
      <c r="O86" s="128" t="n"/>
      <c r="P86" s="128" t="n"/>
      <c r="Q86" s="128" t="n"/>
      <c r="R86" s="129" t="n"/>
      <c r="S86" s="128" t="n"/>
      <c r="T86" s="128" t="n"/>
      <c r="U86" s="128" t="n"/>
      <c r="V86" s="129" t="n"/>
      <c r="W86" s="128" t="n"/>
      <c r="X86" s="128" t="n"/>
      <c r="Y86" s="128" t="n"/>
      <c r="Z86" s="129" t="n"/>
      <c r="AA86" s="129" t="n"/>
      <c r="AB86" s="129" t="n"/>
      <c r="AC86" s="128" t="n"/>
      <c r="AD86" s="128" t="n"/>
      <c r="AE86" s="128" t="n"/>
      <c r="AF86" s="128" t="n"/>
      <c r="AG86" s="128" t="n"/>
      <c r="AH86" s="129" t="n"/>
      <c r="AI86" s="129" t="n"/>
      <c r="AJ86" s="129" t="n"/>
      <c r="AK86" s="129" t="n"/>
      <c r="AL86" s="129" t="n"/>
      <c r="AM86" s="128" t="n"/>
      <c r="AN86" s="128" t="n"/>
      <c r="AO86" s="129" t="n"/>
      <c r="AP86" s="129" t="n"/>
      <c r="AQ86" s="128" t="n"/>
      <c r="AR86" s="129" t="n"/>
      <c r="AS86" s="128" t="n"/>
      <c r="AT86" s="128" t="n"/>
    </row>
    <row r="87" ht="17" customHeight="1" s="83">
      <c r="A87" s="53" t="n"/>
      <c r="B87" s="53" t="n"/>
      <c r="C87" s="130" t="n"/>
      <c r="D87" s="130" t="n"/>
      <c r="E87" s="130" t="n"/>
      <c r="F87" s="131" t="n"/>
      <c r="G87" s="130" t="n"/>
      <c r="H87" s="130" t="n"/>
      <c r="I87" s="130" t="n"/>
      <c r="J87" s="131" t="n"/>
      <c r="K87" s="130" t="n"/>
      <c r="L87" s="130" t="n"/>
      <c r="M87" s="130" t="n"/>
      <c r="N87" s="131" t="n"/>
      <c r="O87" s="130" t="n"/>
      <c r="P87" s="130" t="n"/>
      <c r="Q87" s="130" t="n"/>
      <c r="R87" s="131" t="n"/>
      <c r="S87" s="130" t="n"/>
      <c r="T87" s="130" t="n"/>
      <c r="U87" s="130" t="n"/>
      <c r="V87" s="131" t="n"/>
      <c r="W87" s="130" t="n"/>
      <c r="X87" s="130" t="n"/>
      <c r="Y87" s="130" t="n"/>
      <c r="Z87" s="131" t="n"/>
      <c r="AA87" s="131" t="n"/>
      <c r="AB87" s="131" t="n"/>
      <c r="AC87" s="130" t="n"/>
      <c r="AD87" s="130" t="n"/>
      <c r="AE87" s="130" t="n"/>
      <c r="AF87" s="130" t="n"/>
      <c r="AG87" s="130" t="n"/>
      <c r="AH87" s="131" t="n"/>
      <c r="AI87" s="131" t="n"/>
      <c r="AJ87" s="131" t="n"/>
      <c r="AK87" s="131" t="n"/>
      <c r="AL87" s="131" t="n"/>
      <c r="AM87" s="130" t="n"/>
      <c r="AN87" s="130" t="n"/>
      <c r="AO87" s="131" t="n"/>
      <c r="AP87" s="131" t="n"/>
      <c r="AQ87" s="130" t="n"/>
      <c r="AR87" s="131" t="n"/>
      <c r="AS87" s="130" t="n"/>
      <c r="AT87" s="130" t="n"/>
    </row>
    <row r="88" ht="17" customHeight="1" s="83">
      <c r="A88" s="53" t="n"/>
      <c r="B88" s="53" t="n"/>
      <c r="C88" s="128" t="n"/>
      <c r="D88" s="128" t="n"/>
      <c r="E88" s="128" t="n"/>
      <c r="F88" s="129" t="n"/>
      <c r="G88" s="128" t="n"/>
      <c r="H88" s="128" t="n"/>
      <c r="I88" s="128" t="n"/>
      <c r="J88" s="129" t="n"/>
      <c r="K88" s="128" t="n"/>
      <c r="L88" s="128" t="n"/>
      <c r="M88" s="128" t="n"/>
      <c r="N88" s="129" t="n"/>
      <c r="O88" s="128" t="n"/>
      <c r="P88" s="128" t="n"/>
      <c r="Q88" s="128" t="n"/>
      <c r="R88" s="129" t="n"/>
      <c r="S88" s="128" t="n"/>
      <c r="T88" s="128" t="n"/>
      <c r="U88" s="128" t="n"/>
      <c r="V88" s="129" t="n"/>
      <c r="W88" s="128" t="n"/>
      <c r="X88" s="128" t="n"/>
      <c r="Y88" s="128" t="n"/>
      <c r="Z88" s="129" t="n"/>
      <c r="AA88" s="129" t="n"/>
      <c r="AB88" s="129" t="n"/>
      <c r="AC88" s="128" t="n"/>
      <c r="AD88" s="128" t="n"/>
      <c r="AE88" s="128" t="n"/>
      <c r="AF88" s="128" t="n"/>
      <c r="AG88" s="128" t="n"/>
      <c r="AH88" s="129" t="n"/>
      <c r="AI88" s="129" t="n"/>
      <c r="AJ88" s="129" t="n"/>
      <c r="AK88" s="129" t="n"/>
      <c r="AL88" s="129" t="n"/>
      <c r="AM88" s="128" t="n"/>
      <c r="AN88" s="128" t="n"/>
      <c r="AO88" s="129" t="n"/>
      <c r="AP88" s="129" t="n"/>
      <c r="AQ88" s="128" t="n"/>
      <c r="AR88" s="129" t="n"/>
      <c r="AS88" s="128" t="n"/>
      <c r="AT88" s="128" t="n"/>
    </row>
    <row r="89" ht="18" customHeight="1" s="83">
      <c r="A89" s="47" t="n"/>
      <c r="B89" s="47" t="inlineStr">
        <is>
          <t>小計</t>
        </is>
      </c>
      <c r="C89" s="125" t="n"/>
      <c r="D89" s="125" t="n"/>
      <c r="E89" s="125" t="n"/>
      <c r="F89" s="132" t="n"/>
      <c r="G89" s="125" t="n"/>
      <c r="H89" s="125" t="n"/>
      <c r="I89" s="125" t="n"/>
      <c r="J89" s="132" t="n"/>
      <c r="K89" s="125" t="n"/>
      <c r="L89" s="125" t="n"/>
      <c r="M89" s="125" t="n"/>
      <c r="N89" s="132" t="n"/>
      <c r="O89" s="125" t="n"/>
      <c r="P89" s="125" t="n"/>
      <c r="Q89" s="125" t="n"/>
      <c r="R89" s="132" t="n"/>
      <c r="S89" s="125" t="n"/>
      <c r="T89" s="125" t="n"/>
      <c r="U89" s="125" t="n"/>
      <c r="V89" s="132" t="n"/>
      <c r="W89" s="125" t="n"/>
      <c r="X89" s="125" t="n"/>
      <c r="Y89" s="125" t="n"/>
      <c r="Z89" s="132" t="n"/>
      <c r="AA89" s="132" t="n"/>
      <c r="AB89" s="132" t="n"/>
      <c r="AC89" s="125" t="n"/>
      <c r="AD89" s="125" t="n"/>
      <c r="AE89" s="125" t="n"/>
      <c r="AF89" s="125" t="n"/>
      <c r="AG89" s="125" t="n"/>
      <c r="AH89" s="132" t="n"/>
      <c r="AI89" s="132" t="n"/>
      <c r="AJ89" s="132" t="n"/>
      <c r="AK89" s="132" t="n"/>
      <c r="AL89" s="132" t="n"/>
      <c r="AM89" s="125" t="n"/>
      <c r="AN89" s="125" t="n"/>
      <c r="AO89" s="132" t="n"/>
      <c r="AP89" s="132" t="n"/>
      <c r="AQ89" s="125" t="n"/>
      <c r="AR89" s="132" t="n"/>
      <c r="AS89" s="125" t="n"/>
      <c r="AT89" s="125" t="n"/>
    </row>
    <row r="90">
      <c r="A90" s="107" t="n"/>
      <c r="B90" s="107" t="n"/>
      <c r="C90" s="90" t="n"/>
      <c r="D90" s="90" t="n"/>
      <c r="E90" s="90" t="n"/>
      <c r="F90" s="90" t="n"/>
      <c r="G90" s="90" t="n"/>
      <c r="H90" s="90" t="n"/>
      <c r="I90" s="90" t="n"/>
      <c r="J90" s="90" t="n"/>
      <c r="K90" s="90" t="n"/>
      <c r="L90" s="90" t="n"/>
      <c r="M90" s="90" t="n"/>
      <c r="N90" s="90" t="n"/>
      <c r="O90" s="90" t="n"/>
      <c r="P90" s="90" t="n"/>
      <c r="Q90" s="90" t="n"/>
      <c r="R90" s="90" t="n"/>
      <c r="S90" s="90" t="n"/>
      <c r="T90" s="90" t="n"/>
      <c r="U90" s="90" t="n"/>
      <c r="V90" s="90" t="n"/>
      <c r="W90" s="90" t="n"/>
      <c r="X90" s="90" t="n"/>
      <c r="Y90" s="90" t="n"/>
      <c r="Z90" s="90" t="n"/>
      <c r="AA90" s="90" t="n"/>
      <c r="AB90" s="90" t="n"/>
      <c r="AC90" s="90" t="n"/>
      <c r="AD90" s="90" t="n"/>
      <c r="AE90" s="90" t="n"/>
      <c r="AF90" s="90" t="n"/>
      <c r="AG90" s="90" t="n"/>
      <c r="AH90" s="90" t="n"/>
      <c r="AI90" s="90" t="n"/>
      <c r="AJ90" s="90" t="n"/>
      <c r="AK90" s="90" t="n"/>
      <c r="AL90" s="90" t="n"/>
      <c r="AM90" s="90" t="n"/>
      <c r="AN90" s="90" t="n"/>
      <c r="AO90" s="90" t="n"/>
      <c r="AP90" s="90" t="n"/>
      <c r="AQ90" s="90" t="n"/>
      <c r="AR90" s="90" t="n"/>
      <c r="AS90" s="90" t="n"/>
      <c r="AT90" s="90" t="n"/>
    </row>
    <row r="91">
      <c r="A91" s="107" t="n"/>
      <c r="B91" s="107" t="n"/>
      <c r="C91" s="90" t="n"/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0" t="n"/>
      <c r="AN91" s="90" t="n"/>
      <c r="AO91" s="90" t="n"/>
      <c r="AP91" s="90" t="n"/>
      <c r="AQ91" s="90" t="n"/>
      <c r="AR91" s="90" t="n"/>
      <c r="AS91" s="90" t="n"/>
      <c r="AT91" s="90" t="n"/>
    </row>
    <row r="92" ht="26" customHeight="1" s="83">
      <c r="A92" s="103" t="n"/>
      <c r="B92" s="103" t="inlineStr">
        <is>
          <t>大葉高島屋門市</t>
        </is>
      </c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  <c r="AA92" s="113" t="n"/>
      <c r="AB92" s="113" t="n"/>
      <c r="AC92" s="113" t="n"/>
      <c r="AD92" s="113" t="n"/>
      <c r="AE92" s="113" t="n"/>
      <c r="AF92" s="113" t="n"/>
      <c r="AG92" s="113" t="n"/>
      <c r="AH92" s="113" t="n"/>
      <c r="AI92" s="113" t="n"/>
      <c r="AJ92" s="113" t="n"/>
      <c r="AK92" s="113" t="n"/>
      <c r="AL92" s="113" t="n"/>
      <c r="AM92" s="113" t="n"/>
      <c r="AN92" s="113" t="n"/>
      <c r="AO92" s="113" t="n"/>
      <c r="AP92" s="113" t="n"/>
      <c r="AQ92" s="113" t="n"/>
      <c r="AR92" s="113" t="n"/>
      <c r="AS92" s="113" t="n"/>
      <c r="AT92" s="114" t="n"/>
    </row>
    <row r="93" ht="20" customHeight="1" s="83">
      <c r="A93" s="106" t="n"/>
      <c r="B93" s="81" t="inlineStr">
        <is>
          <t>本週</t>
        </is>
      </c>
      <c r="C93" s="91" t="inlineStr">
        <is>
          <t>iPhone</t>
        </is>
      </c>
      <c r="D93" s="113" t="n"/>
      <c r="E93" s="113" t="n"/>
      <c r="F93" s="114" t="n"/>
      <c r="G93" s="92" t="inlineStr">
        <is>
          <t>iPad</t>
        </is>
      </c>
      <c r="H93" s="113" t="n"/>
      <c r="I93" s="113" t="n"/>
      <c r="J93" s="114" t="n"/>
      <c r="K93" s="93" t="inlineStr">
        <is>
          <t>Watch</t>
        </is>
      </c>
      <c r="L93" s="113" t="n"/>
      <c r="M93" s="113" t="n"/>
      <c r="N93" s="114" t="n"/>
      <c r="O93" s="94" t="inlineStr">
        <is>
          <t>Mac</t>
        </is>
      </c>
      <c r="P93" s="113" t="n"/>
      <c r="Q93" s="113" t="n"/>
      <c r="R93" s="114" t="n"/>
      <c r="S93" s="95" t="inlineStr">
        <is>
          <t>AirPods</t>
        </is>
      </c>
      <c r="T93" s="113" t="n"/>
      <c r="U93" s="113" t="n"/>
      <c r="V93" s="114" t="n"/>
      <c r="W93" s="91" t="inlineStr">
        <is>
          <t>iPhone 配件</t>
        </is>
      </c>
      <c r="X93" s="113" t="n"/>
      <c r="Y93" s="113" t="n"/>
      <c r="Z93" s="113" t="n"/>
      <c r="AA93" s="113" t="n"/>
      <c r="AB93" s="114" t="n"/>
      <c r="AC93" s="92" t="inlineStr">
        <is>
          <t>iPad 配件</t>
        </is>
      </c>
      <c r="AD93" s="113" t="n"/>
      <c r="AE93" s="113" t="n"/>
      <c r="AF93" s="113" t="n"/>
      <c r="AG93" s="113" t="n"/>
      <c r="AH93" s="113" t="n"/>
      <c r="AI93" s="113" t="n"/>
      <c r="AJ93" s="113" t="n"/>
      <c r="AK93" s="113" t="n"/>
      <c r="AL93" s="114" t="n"/>
      <c r="AM93" s="93" t="inlineStr">
        <is>
          <t>Watch 配件</t>
        </is>
      </c>
      <c r="AN93" s="113" t="n"/>
      <c r="AO93" s="113" t="n"/>
      <c r="AP93" s="114" t="n"/>
      <c r="AQ93" s="95" t="inlineStr">
        <is>
          <t>AirPods 配件</t>
        </is>
      </c>
      <c r="AR93" s="114" t="n"/>
      <c r="AS93" s="89" t="inlineStr">
        <is>
          <t>喇叭</t>
        </is>
      </c>
      <c r="AT93" s="114" t="n"/>
    </row>
    <row r="94" ht="42" customHeight="1" s="83">
      <c r="A94" s="80" t="inlineStr">
        <is>
          <t>員工代碼</t>
        </is>
      </c>
      <c r="B94" s="60" t="inlineStr">
        <is>
          <t>員工名稱</t>
        </is>
      </c>
      <c r="C94" s="86" t="inlineStr">
        <is>
          <t>台數</t>
        </is>
      </c>
      <c r="D94" s="86" t="inlineStr">
        <is>
          <t>ACPP+</t>
        </is>
      </c>
      <c r="E94" s="86" t="inlineStr">
        <is>
          <t>SAcare</t>
        </is>
      </c>
      <c r="F94" s="86" t="inlineStr">
        <is>
          <t>合計率</t>
        </is>
      </c>
      <c r="G94" s="86" t="inlineStr">
        <is>
          <t>台數</t>
        </is>
      </c>
      <c r="H94" s="86" t="inlineStr">
        <is>
          <t>ACPP+</t>
        </is>
      </c>
      <c r="I94" s="86" t="inlineStr">
        <is>
          <t>SAcare</t>
        </is>
      </c>
      <c r="J94" s="86" t="inlineStr">
        <is>
          <t>合計率</t>
        </is>
      </c>
      <c r="K94" s="86" t="inlineStr">
        <is>
          <t>台數</t>
        </is>
      </c>
      <c r="L94" s="86" t="inlineStr">
        <is>
          <t>ACPP+</t>
        </is>
      </c>
      <c r="M94" s="86" t="inlineStr">
        <is>
          <t>SAcare</t>
        </is>
      </c>
      <c r="N94" s="86" t="inlineStr">
        <is>
          <t>合計率</t>
        </is>
      </c>
      <c r="O94" s="86" t="inlineStr">
        <is>
          <t>台數</t>
        </is>
      </c>
      <c r="P94" s="86" t="inlineStr">
        <is>
          <t>ACPP+</t>
        </is>
      </c>
      <c r="Q94" s="86" t="inlineStr">
        <is>
          <t>SAcare</t>
        </is>
      </c>
      <c r="R94" s="86" t="inlineStr">
        <is>
          <t>合計率</t>
        </is>
      </c>
      <c r="S94" s="86" t="inlineStr">
        <is>
          <t>台數</t>
        </is>
      </c>
      <c r="T94" s="86" t="inlineStr">
        <is>
          <t>ACPP+</t>
        </is>
      </c>
      <c r="U94" s="86" t="inlineStr">
        <is>
          <t>SAcare</t>
        </is>
      </c>
      <c r="V94" s="86" t="inlineStr">
        <is>
          <t>合計率</t>
        </is>
      </c>
      <c r="W94" s="86" t="inlineStr">
        <is>
          <t>保貼</t>
        </is>
      </c>
      <c r="X94" s="86" t="inlineStr">
        <is>
          <t>保護殼</t>
        </is>
      </c>
      <c r="Y94" s="86" t="inlineStr">
        <is>
          <t>鏡頭貼</t>
        </is>
      </c>
      <c r="Z94" s="86" t="inlineStr">
        <is>
          <t>保貼率</t>
        </is>
      </c>
      <c r="AA94" s="86" t="inlineStr">
        <is>
          <t>保護殼率</t>
        </is>
      </c>
      <c r="AB94" s="86" t="inlineStr">
        <is>
          <t>鏡頭貼率</t>
        </is>
      </c>
      <c r="AC94" s="86" t="inlineStr">
        <is>
          <t>原廠筆</t>
        </is>
      </c>
      <c r="AD94" s="86" t="inlineStr">
        <is>
          <t>副廠筆</t>
        </is>
      </c>
      <c r="AE94" s="86" t="inlineStr">
        <is>
          <t>保貼</t>
        </is>
      </c>
      <c r="AF94" s="86" t="inlineStr">
        <is>
          <t>保護殼</t>
        </is>
      </c>
      <c r="AG94" s="86" t="inlineStr">
        <is>
          <t>鍵盤</t>
        </is>
      </c>
      <c r="AH94" s="86" t="inlineStr">
        <is>
          <t>原廠筆率</t>
        </is>
      </c>
      <c r="AI94" s="86" t="inlineStr">
        <is>
          <t>副廠筆率</t>
        </is>
      </c>
      <c r="AJ94" s="86" t="inlineStr">
        <is>
          <t>保貼率</t>
        </is>
      </c>
      <c r="AK94" s="86" t="inlineStr">
        <is>
          <t>保護殼率</t>
        </is>
      </c>
      <c r="AL94" s="86" t="inlineStr">
        <is>
          <t>鍵盤率</t>
        </is>
      </c>
      <c r="AM94" s="86" t="inlineStr">
        <is>
          <t>保貼</t>
        </is>
      </c>
      <c r="AN94" s="86" t="inlineStr">
        <is>
          <t>錶帶</t>
        </is>
      </c>
      <c r="AO94" s="86" t="inlineStr">
        <is>
          <t>保貼率</t>
        </is>
      </c>
      <c r="AP94" s="86" t="inlineStr">
        <is>
          <t>錶帶率</t>
        </is>
      </c>
      <c r="AQ94" s="86" t="inlineStr">
        <is>
          <t>配件數</t>
        </is>
      </c>
      <c r="AR94" s="86" t="inlineStr">
        <is>
          <t>配件率</t>
        </is>
      </c>
      <c r="AS94" s="86" t="inlineStr">
        <is>
          <t>含Momax</t>
        </is>
      </c>
      <c r="AT94" s="86" t="inlineStr">
        <is>
          <t>不含Momax</t>
        </is>
      </c>
    </row>
    <row r="95" ht="17" customHeight="1" s="83">
      <c r="A95" s="53" t="n"/>
      <c r="B95" s="53" t="n"/>
      <c r="C95" s="128" t="n"/>
      <c r="D95" s="128" t="n"/>
      <c r="E95" s="128" t="n"/>
      <c r="F95" s="129" t="n"/>
      <c r="G95" s="128" t="n"/>
      <c r="H95" s="128" t="n"/>
      <c r="I95" s="128" t="n"/>
      <c r="J95" s="129" t="n"/>
      <c r="K95" s="128" t="n"/>
      <c r="L95" s="128" t="n"/>
      <c r="M95" s="128" t="n"/>
      <c r="N95" s="129" t="n"/>
      <c r="O95" s="128" t="n"/>
      <c r="P95" s="128" t="n"/>
      <c r="Q95" s="128" t="n"/>
      <c r="R95" s="129" t="n"/>
      <c r="S95" s="128" t="n"/>
      <c r="T95" s="128" t="n"/>
      <c r="U95" s="128" t="n"/>
      <c r="V95" s="129" t="n"/>
      <c r="W95" s="128" t="n"/>
      <c r="X95" s="128" t="n"/>
      <c r="Y95" s="128" t="n"/>
      <c r="Z95" s="129" t="n"/>
      <c r="AA95" s="129" t="n"/>
      <c r="AB95" s="129" t="n"/>
      <c r="AC95" s="128" t="n"/>
      <c r="AD95" s="128" t="n"/>
      <c r="AE95" s="128" t="n"/>
      <c r="AF95" s="128" t="n"/>
      <c r="AG95" s="128" t="n"/>
      <c r="AH95" s="129" t="n"/>
      <c r="AI95" s="129" t="n"/>
      <c r="AJ95" s="129" t="n"/>
      <c r="AK95" s="129" t="n"/>
      <c r="AL95" s="129" t="n"/>
      <c r="AM95" s="128" t="n"/>
      <c r="AN95" s="128" t="n"/>
      <c r="AO95" s="129" t="n"/>
      <c r="AP95" s="129" t="n"/>
      <c r="AQ95" s="128" t="n"/>
      <c r="AR95" s="129" t="n"/>
      <c r="AS95" s="128" t="n"/>
      <c r="AT95" s="128" t="n"/>
    </row>
    <row r="96" ht="17" customHeight="1" s="83">
      <c r="A96" s="53" t="n"/>
      <c r="B96" s="53" t="n"/>
      <c r="C96" s="130" t="n"/>
      <c r="D96" s="130" t="n"/>
      <c r="E96" s="130" t="n"/>
      <c r="F96" s="131" t="n"/>
      <c r="G96" s="130" t="n"/>
      <c r="H96" s="130" t="n"/>
      <c r="I96" s="130" t="n"/>
      <c r="J96" s="131" t="n"/>
      <c r="K96" s="130" t="n"/>
      <c r="L96" s="130" t="n"/>
      <c r="M96" s="130" t="n"/>
      <c r="N96" s="131" t="n"/>
      <c r="O96" s="130" t="n"/>
      <c r="P96" s="130" t="n"/>
      <c r="Q96" s="130" t="n"/>
      <c r="R96" s="131" t="n"/>
      <c r="S96" s="130" t="n"/>
      <c r="T96" s="130" t="n"/>
      <c r="U96" s="130" t="n"/>
      <c r="V96" s="131" t="n"/>
      <c r="W96" s="130" t="n"/>
      <c r="X96" s="130" t="n"/>
      <c r="Y96" s="130" t="n"/>
      <c r="Z96" s="131" t="n"/>
      <c r="AA96" s="131" t="n"/>
      <c r="AB96" s="131" t="n"/>
      <c r="AC96" s="130" t="n"/>
      <c r="AD96" s="130" t="n"/>
      <c r="AE96" s="130" t="n"/>
      <c r="AF96" s="130" t="n"/>
      <c r="AG96" s="130" t="n"/>
      <c r="AH96" s="131" t="n"/>
      <c r="AI96" s="131" t="n"/>
      <c r="AJ96" s="131" t="n"/>
      <c r="AK96" s="131" t="n"/>
      <c r="AL96" s="131" t="n"/>
      <c r="AM96" s="130" t="n"/>
      <c r="AN96" s="130" t="n"/>
      <c r="AO96" s="131" t="n"/>
      <c r="AP96" s="131" t="n"/>
      <c r="AQ96" s="130" t="n"/>
      <c r="AR96" s="131" t="n"/>
      <c r="AS96" s="130" t="n"/>
      <c r="AT96" s="130" t="n"/>
    </row>
    <row r="97" ht="17" customHeight="1" s="83">
      <c r="A97" s="53" t="n"/>
      <c r="B97" s="53" t="n"/>
      <c r="C97" s="128" t="n"/>
      <c r="D97" s="128" t="n"/>
      <c r="E97" s="128" t="n"/>
      <c r="F97" s="129" t="n"/>
      <c r="G97" s="128" t="n"/>
      <c r="H97" s="128" t="n"/>
      <c r="I97" s="128" t="n"/>
      <c r="J97" s="129" t="n"/>
      <c r="K97" s="128" t="n"/>
      <c r="L97" s="128" t="n"/>
      <c r="M97" s="128" t="n"/>
      <c r="N97" s="129" t="n"/>
      <c r="O97" s="128" t="n"/>
      <c r="P97" s="128" t="n"/>
      <c r="Q97" s="128" t="n"/>
      <c r="R97" s="129" t="n"/>
      <c r="S97" s="128" t="n"/>
      <c r="T97" s="128" t="n"/>
      <c r="U97" s="128" t="n"/>
      <c r="V97" s="129" t="n"/>
      <c r="W97" s="128" t="n"/>
      <c r="X97" s="128" t="n"/>
      <c r="Y97" s="128" t="n"/>
      <c r="Z97" s="129" t="n"/>
      <c r="AA97" s="129" t="n"/>
      <c r="AB97" s="129" t="n"/>
      <c r="AC97" s="128" t="n"/>
      <c r="AD97" s="128" t="n"/>
      <c r="AE97" s="128" t="n"/>
      <c r="AF97" s="128" t="n"/>
      <c r="AG97" s="128" t="n"/>
      <c r="AH97" s="129" t="n"/>
      <c r="AI97" s="129" t="n"/>
      <c r="AJ97" s="129" t="n"/>
      <c r="AK97" s="129" t="n"/>
      <c r="AL97" s="129" t="n"/>
      <c r="AM97" s="128" t="n"/>
      <c r="AN97" s="128" t="n"/>
      <c r="AO97" s="129" t="n"/>
      <c r="AP97" s="129" t="n"/>
      <c r="AQ97" s="128" t="n"/>
      <c r="AR97" s="129" t="n"/>
      <c r="AS97" s="128" t="n"/>
      <c r="AT97" s="128" t="n"/>
    </row>
    <row r="98" ht="17" customHeight="1" s="83">
      <c r="A98" s="53" t="n"/>
      <c r="B98" s="53" t="n"/>
      <c r="C98" s="130" t="n"/>
      <c r="D98" s="130" t="n"/>
      <c r="E98" s="130" t="n"/>
      <c r="F98" s="131" t="n"/>
      <c r="G98" s="130" t="n"/>
      <c r="H98" s="130" t="n"/>
      <c r="I98" s="130" t="n"/>
      <c r="J98" s="131" t="n"/>
      <c r="K98" s="130" t="n"/>
      <c r="L98" s="130" t="n"/>
      <c r="M98" s="130" t="n"/>
      <c r="N98" s="131" t="n"/>
      <c r="O98" s="130" t="n"/>
      <c r="P98" s="130" t="n"/>
      <c r="Q98" s="130" t="n"/>
      <c r="R98" s="131" t="n"/>
      <c r="S98" s="130" t="n"/>
      <c r="T98" s="130" t="n"/>
      <c r="U98" s="130" t="n"/>
      <c r="V98" s="131" t="n"/>
      <c r="W98" s="130" t="n"/>
      <c r="X98" s="130" t="n"/>
      <c r="Y98" s="130" t="n"/>
      <c r="Z98" s="131" t="n"/>
      <c r="AA98" s="131" t="n"/>
      <c r="AB98" s="131" t="n"/>
      <c r="AC98" s="130" t="n"/>
      <c r="AD98" s="130" t="n"/>
      <c r="AE98" s="130" t="n"/>
      <c r="AF98" s="130" t="n"/>
      <c r="AG98" s="130" t="n"/>
      <c r="AH98" s="131" t="n"/>
      <c r="AI98" s="131" t="n"/>
      <c r="AJ98" s="131" t="n"/>
      <c r="AK98" s="131" t="n"/>
      <c r="AL98" s="131" t="n"/>
      <c r="AM98" s="130" t="n"/>
      <c r="AN98" s="130" t="n"/>
      <c r="AO98" s="131" t="n"/>
      <c r="AP98" s="131" t="n"/>
      <c r="AQ98" s="130" t="n"/>
      <c r="AR98" s="131" t="n"/>
      <c r="AS98" s="130" t="n"/>
      <c r="AT98" s="130" t="n"/>
    </row>
    <row r="99" ht="17" customHeight="1" s="83">
      <c r="A99" s="53" t="n"/>
      <c r="B99" s="53" t="n"/>
      <c r="C99" s="128" t="n"/>
      <c r="D99" s="128" t="n"/>
      <c r="E99" s="128" t="n"/>
      <c r="F99" s="129" t="n"/>
      <c r="G99" s="128" t="n"/>
      <c r="H99" s="128" t="n"/>
      <c r="I99" s="128" t="n"/>
      <c r="J99" s="129" t="n"/>
      <c r="K99" s="128" t="n"/>
      <c r="L99" s="128" t="n"/>
      <c r="M99" s="128" t="n"/>
      <c r="N99" s="129" t="n"/>
      <c r="O99" s="128" t="n"/>
      <c r="P99" s="128" t="n"/>
      <c r="Q99" s="128" t="n"/>
      <c r="R99" s="129" t="n"/>
      <c r="S99" s="128" t="n"/>
      <c r="T99" s="128" t="n"/>
      <c r="U99" s="128" t="n"/>
      <c r="V99" s="129" t="n"/>
      <c r="W99" s="128" t="n"/>
      <c r="X99" s="128" t="n"/>
      <c r="Y99" s="128" t="n"/>
      <c r="Z99" s="129" t="n"/>
      <c r="AA99" s="129" t="n"/>
      <c r="AB99" s="129" t="n"/>
      <c r="AC99" s="128" t="n"/>
      <c r="AD99" s="128" t="n"/>
      <c r="AE99" s="128" t="n"/>
      <c r="AF99" s="128" t="n"/>
      <c r="AG99" s="128" t="n"/>
      <c r="AH99" s="129" t="n"/>
      <c r="AI99" s="129" t="n"/>
      <c r="AJ99" s="129" t="n"/>
      <c r="AK99" s="129" t="n"/>
      <c r="AL99" s="129" t="n"/>
      <c r="AM99" s="128" t="n"/>
      <c r="AN99" s="128" t="n"/>
      <c r="AO99" s="129" t="n"/>
      <c r="AP99" s="129" t="n"/>
      <c r="AQ99" s="128" t="n"/>
      <c r="AR99" s="129" t="n"/>
      <c r="AS99" s="128" t="n"/>
      <c r="AT99" s="128" t="n"/>
    </row>
    <row r="100" ht="17" customHeight="1" s="83">
      <c r="A100" s="53" t="n"/>
      <c r="B100" s="53" t="n"/>
      <c r="C100" s="130" t="n"/>
      <c r="D100" s="130" t="n"/>
      <c r="E100" s="130" t="n"/>
      <c r="F100" s="131" t="n"/>
      <c r="G100" s="130" t="n"/>
      <c r="H100" s="130" t="n"/>
      <c r="I100" s="130" t="n"/>
      <c r="J100" s="131" t="n"/>
      <c r="K100" s="130" t="n"/>
      <c r="L100" s="130" t="n"/>
      <c r="M100" s="130" t="n"/>
      <c r="N100" s="131" t="n"/>
      <c r="O100" s="130" t="n"/>
      <c r="P100" s="130" t="n"/>
      <c r="Q100" s="130" t="n"/>
      <c r="R100" s="131" t="n"/>
      <c r="S100" s="130" t="n"/>
      <c r="T100" s="130" t="n"/>
      <c r="U100" s="130" t="n"/>
      <c r="V100" s="131" t="n"/>
      <c r="W100" s="130" t="n"/>
      <c r="X100" s="130" t="n"/>
      <c r="Y100" s="130" t="n"/>
      <c r="Z100" s="131" t="n"/>
      <c r="AA100" s="131" t="n"/>
      <c r="AB100" s="131" t="n"/>
      <c r="AC100" s="130" t="n"/>
      <c r="AD100" s="130" t="n"/>
      <c r="AE100" s="130" t="n"/>
      <c r="AF100" s="130" t="n"/>
      <c r="AG100" s="130" t="n"/>
      <c r="AH100" s="131" t="n"/>
      <c r="AI100" s="131" t="n"/>
      <c r="AJ100" s="131" t="n"/>
      <c r="AK100" s="131" t="n"/>
      <c r="AL100" s="131" t="n"/>
      <c r="AM100" s="130" t="n"/>
      <c r="AN100" s="130" t="n"/>
      <c r="AO100" s="131" t="n"/>
      <c r="AP100" s="131" t="n"/>
      <c r="AQ100" s="130" t="n"/>
      <c r="AR100" s="131" t="n"/>
      <c r="AS100" s="130" t="n"/>
      <c r="AT100" s="130" t="n"/>
    </row>
    <row r="101" ht="17" customHeight="1" s="83">
      <c r="A101" s="53" t="n"/>
      <c r="B101" s="53" t="n"/>
      <c r="C101" s="128" t="n"/>
      <c r="D101" s="128" t="n"/>
      <c r="E101" s="128" t="n"/>
      <c r="F101" s="129" t="n"/>
      <c r="G101" s="128" t="n"/>
      <c r="H101" s="128" t="n"/>
      <c r="I101" s="128" t="n"/>
      <c r="J101" s="129" t="n"/>
      <c r="K101" s="128" t="n"/>
      <c r="L101" s="128" t="n"/>
      <c r="M101" s="128" t="n"/>
      <c r="N101" s="129" t="n"/>
      <c r="O101" s="128" t="n"/>
      <c r="P101" s="128" t="n"/>
      <c r="Q101" s="128" t="n"/>
      <c r="R101" s="129" t="n"/>
      <c r="S101" s="128" t="n"/>
      <c r="T101" s="128" t="n"/>
      <c r="U101" s="128" t="n"/>
      <c r="V101" s="129" t="n"/>
      <c r="W101" s="128" t="n"/>
      <c r="X101" s="128" t="n"/>
      <c r="Y101" s="128" t="n"/>
      <c r="Z101" s="129" t="n"/>
      <c r="AA101" s="129" t="n"/>
      <c r="AB101" s="129" t="n"/>
      <c r="AC101" s="128" t="n"/>
      <c r="AD101" s="128" t="n"/>
      <c r="AE101" s="128" t="n"/>
      <c r="AF101" s="128" t="n"/>
      <c r="AG101" s="128" t="n"/>
      <c r="AH101" s="129" t="n"/>
      <c r="AI101" s="129" t="n"/>
      <c r="AJ101" s="129" t="n"/>
      <c r="AK101" s="129" t="n"/>
      <c r="AL101" s="129" t="n"/>
      <c r="AM101" s="128" t="n"/>
      <c r="AN101" s="128" t="n"/>
      <c r="AO101" s="129" t="n"/>
      <c r="AP101" s="129" t="n"/>
      <c r="AQ101" s="128" t="n"/>
      <c r="AR101" s="129" t="n"/>
      <c r="AS101" s="128" t="n"/>
      <c r="AT101" s="128" t="n"/>
    </row>
    <row r="102" ht="18" customHeight="1" s="83">
      <c r="A102" s="47" t="n"/>
      <c r="B102" s="47" t="inlineStr">
        <is>
          <t>小計</t>
        </is>
      </c>
      <c r="C102" s="125" t="n"/>
      <c r="D102" s="125" t="n"/>
      <c r="E102" s="125" t="n"/>
      <c r="F102" s="132" t="n"/>
      <c r="G102" s="125" t="n"/>
      <c r="H102" s="125" t="n"/>
      <c r="I102" s="125" t="n"/>
      <c r="J102" s="132" t="n"/>
      <c r="K102" s="125" t="n"/>
      <c r="L102" s="125" t="n"/>
      <c r="M102" s="125" t="n"/>
      <c r="N102" s="132" t="n"/>
      <c r="O102" s="125" t="n"/>
      <c r="P102" s="125" t="n"/>
      <c r="Q102" s="125" t="n"/>
      <c r="R102" s="132" t="n"/>
      <c r="S102" s="125" t="n"/>
      <c r="T102" s="125" t="n"/>
      <c r="U102" s="125" t="n"/>
      <c r="V102" s="132" t="n"/>
      <c r="W102" s="125" t="n"/>
      <c r="X102" s="125" t="n"/>
      <c r="Y102" s="125" t="n"/>
      <c r="Z102" s="132" t="n"/>
      <c r="AA102" s="132" t="n"/>
      <c r="AB102" s="132" t="n"/>
      <c r="AC102" s="125" t="n"/>
      <c r="AD102" s="125" t="n"/>
      <c r="AE102" s="125" t="n"/>
      <c r="AF102" s="125" t="n"/>
      <c r="AG102" s="125" t="n"/>
      <c r="AH102" s="132" t="n"/>
      <c r="AI102" s="132" t="n"/>
      <c r="AJ102" s="132" t="n"/>
      <c r="AK102" s="132" t="n"/>
      <c r="AL102" s="132" t="n"/>
      <c r="AM102" s="125" t="n"/>
      <c r="AN102" s="125" t="n"/>
      <c r="AO102" s="132" t="n"/>
      <c r="AP102" s="132" t="n"/>
      <c r="AQ102" s="125" t="n"/>
      <c r="AR102" s="132" t="n"/>
      <c r="AS102" s="125" t="n"/>
      <c r="AT102" s="125" t="n"/>
    </row>
    <row r="103" ht="20" customHeight="1" s="83">
      <c r="A103" s="106" t="n"/>
      <c r="B103" s="81" t="inlineStr">
        <is>
          <t>月累積</t>
        </is>
      </c>
      <c r="C103" s="91" t="inlineStr">
        <is>
          <t>iPhone</t>
        </is>
      </c>
      <c r="D103" s="113" t="n"/>
      <c r="E103" s="113" t="n"/>
      <c r="F103" s="114" t="n"/>
      <c r="G103" s="92" t="inlineStr">
        <is>
          <t>iPad</t>
        </is>
      </c>
      <c r="H103" s="113" t="n"/>
      <c r="I103" s="113" t="n"/>
      <c r="J103" s="114" t="n"/>
      <c r="K103" s="93" t="inlineStr">
        <is>
          <t>Watch</t>
        </is>
      </c>
      <c r="L103" s="113" t="n"/>
      <c r="M103" s="113" t="n"/>
      <c r="N103" s="114" t="n"/>
      <c r="O103" s="94" t="inlineStr">
        <is>
          <t>Mac</t>
        </is>
      </c>
      <c r="P103" s="113" t="n"/>
      <c r="Q103" s="113" t="n"/>
      <c r="R103" s="114" t="n"/>
      <c r="S103" s="95" t="inlineStr">
        <is>
          <t>AirPods</t>
        </is>
      </c>
      <c r="T103" s="113" t="n"/>
      <c r="U103" s="113" t="n"/>
      <c r="V103" s="114" t="n"/>
      <c r="W103" s="91" t="inlineStr">
        <is>
          <t>iPhone 配件</t>
        </is>
      </c>
      <c r="X103" s="113" t="n"/>
      <c r="Y103" s="113" t="n"/>
      <c r="Z103" s="113" t="n"/>
      <c r="AA103" s="113" t="n"/>
      <c r="AB103" s="114" t="n"/>
      <c r="AC103" s="92" t="inlineStr">
        <is>
          <t>iPad 配件</t>
        </is>
      </c>
      <c r="AD103" s="113" t="n"/>
      <c r="AE103" s="113" t="n"/>
      <c r="AF103" s="113" t="n"/>
      <c r="AG103" s="113" t="n"/>
      <c r="AH103" s="113" t="n"/>
      <c r="AI103" s="113" t="n"/>
      <c r="AJ103" s="113" t="n"/>
      <c r="AK103" s="113" t="n"/>
      <c r="AL103" s="114" t="n"/>
      <c r="AM103" s="93" t="inlineStr">
        <is>
          <t>Watch 配件</t>
        </is>
      </c>
      <c r="AN103" s="113" t="n"/>
      <c r="AO103" s="113" t="n"/>
      <c r="AP103" s="114" t="n"/>
      <c r="AQ103" s="95" t="inlineStr">
        <is>
          <t>AirPods 配件</t>
        </is>
      </c>
      <c r="AR103" s="114" t="n"/>
      <c r="AS103" s="89" t="inlineStr">
        <is>
          <t>喇叭</t>
        </is>
      </c>
      <c r="AT103" s="114" t="n"/>
    </row>
    <row r="104" ht="42" customHeight="1" s="83">
      <c r="A104" s="80" t="inlineStr">
        <is>
          <t>員工代碼</t>
        </is>
      </c>
      <c r="B104" s="60" t="inlineStr">
        <is>
          <t>員工名稱</t>
        </is>
      </c>
      <c r="C104" s="86" t="inlineStr">
        <is>
          <t>台數</t>
        </is>
      </c>
      <c r="D104" s="86" t="inlineStr">
        <is>
          <t>ACPP+</t>
        </is>
      </c>
      <c r="E104" s="86" t="inlineStr">
        <is>
          <t>SAcare</t>
        </is>
      </c>
      <c r="F104" s="86" t="inlineStr">
        <is>
          <t>合計率</t>
        </is>
      </c>
      <c r="G104" s="86" t="inlineStr">
        <is>
          <t>台數</t>
        </is>
      </c>
      <c r="H104" s="86" t="inlineStr">
        <is>
          <t>ACPP+</t>
        </is>
      </c>
      <c r="I104" s="86" t="inlineStr">
        <is>
          <t>SAcare</t>
        </is>
      </c>
      <c r="J104" s="86" t="inlineStr">
        <is>
          <t>合計率</t>
        </is>
      </c>
      <c r="K104" s="86" t="inlineStr">
        <is>
          <t>台數</t>
        </is>
      </c>
      <c r="L104" s="86" t="inlineStr">
        <is>
          <t>ACPP+</t>
        </is>
      </c>
      <c r="M104" s="86" t="inlineStr">
        <is>
          <t>SAcare</t>
        </is>
      </c>
      <c r="N104" s="86" t="inlineStr">
        <is>
          <t>合計率</t>
        </is>
      </c>
      <c r="O104" s="86" t="inlineStr">
        <is>
          <t>台數</t>
        </is>
      </c>
      <c r="P104" s="86" t="inlineStr">
        <is>
          <t>ACPP+</t>
        </is>
      </c>
      <c r="Q104" s="86" t="inlineStr">
        <is>
          <t>SAcare</t>
        </is>
      </c>
      <c r="R104" s="86" t="inlineStr">
        <is>
          <t>合計率</t>
        </is>
      </c>
      <c r="S104" s="86" t="inlineStr">
        <is>
          <t>台數</t>
        </is>
      </c>
      <c r="T104" s="86" t="inlineStr">
        <is>
          <t>ACPP+</t>
        </is>
      </c>
      <c r="U104" s="86" t="inlineStr">
        <is>
          <t>SAcare</t>
        </is>
      </c>
      <c r="V104" s="86" t="inlineStr">
        <is>
          <t>合計率</t>
        </is>
      </c>
      <c r="W104" s="86" t="inlineStr">
        <is>
          <t>保貼</t>
        </is>
      </c>
      <c r="X104" s="86" t="inlineStr">
        <is>
          <t>保護殼</t>
        </is>
      </c>
      <c r="Y104" s="86" t="inlineStr">
        <is>
          <t>鏡頭貼</t>
        </is>
      </c>
      <c r="Z104" s="86" t="inlineStr">
        <is>
          <t>保貼率</t>
        </is>
      </c>
      <c r="AA104" s="86" t="inlineStr">
        <is>
          <t>保護殼率</t>
        </is>
      </c>
      <c r="AB104" s="86" t="inlineStr">
        <is>
          <t>鏡頭貼率</t>
        </is>
      </c>
      <c r="AC104" s="86" t="inlineStr">
        <is>
          <t>原廠筆</t>
        </is>
      </c>
      <c r="AD104" s="86" t="inlineStr">
        <is>
          <t>副廠筆</t>
        </is>
      </c>
      <c r="AE104" s="86" t="inlineStr">
        <is>
          <t>保貼</t>
        </is>
      </c>
      <c r="AF104" s="86" t="inlineStr">
        <is>
          <t>保護殼</t>
        </is>
      </c>
      <c r="AG104" s="86" t="inlineStr">
        <is>
          <t>鍵盤</t>
        </is>
      </c>
      <c r="AH104" s="86" t="inlineStr">
        <is>
          <t>原廠筆率</t>
        </is>
      </c>
      <c r="AI104" s="86" t="inlineStr">
        <is>
          <t>副廠筆率</t>
        </is>
      </c>
      <c r="AJ104" s="86" t="inlineStr">
        <is>
          <t>保貼率</t>
        </is>
      </c>
      <c r="AK104" s="86" t="inlineStr">
        <is>
          <t>保護殼率</t>
        </is>
      </c>
      <c r="AL104" s="86" t="inlineStr">
        <is>
          <t>鍵盤率</t>
        </is>
      </c>
      <c r="AM104" s="86" t="inlineStr">
        <is>
          <t>保貼</t>
        </is>
      </c>
      <c r="AN104" s="86" t="inlineStr">
        <is>
          <t>錶帶</t>
        </is>
      </c>
      <c r="AO104" s="86" t="inlineStr">
        <is>
          <t>保貼率</t>
        </is>
      </c>
      <c r="AP104" s="86" t="inlineStr">
        <is>
          <t>錶帶率</t>
        </is>
      </c>
      <c r="AQ104" s="86" t="inlineStr">
        <is>
          <t>配件數</t>
        </is>
      </c>
      <c r="AR104" s="86" t="inlineStr">
        <is>
          <t>配件率</t>
        </is>
      </c>
      <c r="AS104" s="86" t="inlineStr">
        <is>
          <t>含Momax</t>
        </is>
      </c>
      <c r="AT104" s="86" t="inlineStr">
        <is>
          <t>不含Momax</t>
        </is>
      </c>
    </row>
    <row r="105" ht="17" customHeight="1" s="83">
      <c r="A105" s="53" t="n"/>
      <c r="B105" s="53" t="n"/>
      <c r="C105" s="128" t="n"/>
      <c r="D105" s="128" t="n"/>
      <c r="E105" s="128" t="n"/>
      <c r="F105" s="129" t="n"/>
      <c r="G105" s="128" t="n"/>
      <c r="H105" s="128" t="n"/>
      <c r="I105" s="128" t="n"/>
      <c r="J105" s="129" t="n"/>
      <c r="K105" s="128" t="n"/>
      <c r="L105" s="128" t="n"/>
      <c r="M105" s="128" t="n"/>
      <c r="N105" s="129" t="n"/>
      <c r="O105" s="128" t="n"/>
      <c r="P105" s="128" t="n"/>
      <c r="Q105" s="128" t="n"/>
      <c r="R105" s="129" t="n"/>
      <c r="S105" s="128" t="n"/>
      <c r="T105" s="128" t="n"/>
      <c r="U105" s="128" t="n"/>
      <c r="V105" s="129" t="n"/>
      <c r="W105" s="128" t="n"/>
      <c r="X105" s="128" t="n"/>
      <c r="Y105" s="128" t="n"/>
      <c r="Z105" s="129" t="n"/>
      <c r="AA105" s="129" t="n"/>
      <c r="AB105" s="129" t="n"/>
      <c r="AC105" s="128" t="n"/>
      <c r="AD105" s="128" t="n"/>
      <c r="AE105" s="128" t="n"/>
      <c r="AF105" s="128" t="n"/>
      <c r="AG105" s="128" t="n"/>
      <c r="AH105" s="129" t="n"/>
      <c r="AI105" s="129" t="n"/>
      <c r="AJ105" s="129" t="n"/>
      <c r="AK105" s="129" t="n"/>
      <c r="AL105" s="129" t="n"/>
      <c r="AM105" s="128" t="n"/>
      <c r="AN105" s="128" t="n"/>
      <c r="AO105" s="129" t="n"/>
      <c r="AP105" s="129" t="n"/>
      <c r="AQ105" s="128" t="n"/>
      <c r="AR105" s="129" t="n"/>
      <c r="AS105" s="128" t="n"/>
      <c r="AT105" s="128" t="n"/>
    </row>
    <row r="106" ht="17" customHeight="1" s="83">
      <c r="A106" s="53" t="n"/>
      <c r="B106" s="53" t="n"/>
      <c r="C106" s="130" t="n"/>
      <c r="D106" s="130" t="n"/>
      <c r="E106" s="130" t="n"/>
      <c r="F106" s="131" t="n"/>
      <c r="G106" s="130" t="n"/>
      <c r="H106" s="130" t="n"/>
      <c r="I106" s="130" t="n"/>
      <c r="J106" s="131" t="n"/>
      <c r="K106" s="130" t="n"/>
      <c r="L106" s="130" t="n"/>
      <c r="M106" s="130" t="n"/>
      <c r="N106" s="131" t="n"/>
      <c r="O106" s="130" t="n"/>
      <c r="P106" s="130" t="n"/>
      <c r="Q106" s="130" t="n"/>
      <c r="R106" s="131" t="n"/>
      <c r="S106" s="130" t="n"/>
      <c r="T106" s="130" t="n"/>
      <c r="U106" s="130" t="n"/>
      <c r="V106" s="131" t="n"/>
      <c r="W106" s="130" t="n"/>
      <c r="X106" s="130" t="n"/>
      <c r="Y106" s="130" t="n"/>
      <c r="Z106" s="131" t="n"/>
      <c r="AA106" s="131" t="n"/>
      <c r="AB106" s="131" t="n"/>
      <c r="AC106" s="130" t="n"/>
      <c r="AD106" s="130" t="n"/>
      <c r="AE106" s="130" t="n"/>
      <c r="AF106" s="130" t="n"/>
      <c r="AG106" s="130" t="n"/>
      <c r="AH106" s="131" t="n"/>
      <c r="AI106" s="131" t="n"/>
      <c r="AJ106" s="131" t="n"/>
      <c r="AK106" s="131" t="n"/>
      <c r="AL106" s="131" t="n"/>
      <c r="AM106" s="130" t="n"/>
      <c r="AN106" s="130" t="n"/>
      <c r="AO106" s="131" t="n"/>
      <c r="AP106" s="131" t="n"/>
      <c r="AQ106" s="130" t="n"/>
      <c r="AR106" s="131" t="n"/>
      <c r="AS106" s="130" t="n"/>
      <c r="AT106" s="130" t="n"/>
    </row>
    <row r="107" ht="17" customHeight="1" s="83">
      <c r="A107" s="53" t="n"/>
      <c r="B107" s="53" t="n"/>
      <c r="C107" s="128" t="n"/>
      <c r="D107" s="128" t="n"/>
      <c r="E107" s="128" t="n"/>
      <c r="F107" s="129" t="n"/>
      <c r="G107" s="128" t="n"/>
      <c r="H107" s="128" t="n"/>
      <c r="I107" s="128" t="n"/>
      <c r="J107" s="129" t="n"/>
      <c r="K107" s="128" t="n"/>
      <c r="L107" s="128" t="n"/>
      <c r="M107" s="128" t="n"/>
      <c r="N107" s="129" t="n"/>
      <c r="O107" s="128" t="n"/>
      <c r="P107" s="128" t="n"/>
      <c r="Q107" s="128" t="n"/>
      <c r="R107" s="129" t="n"/>
      <c r="S107" s="128" t="n"/>
      <c r="T107" s="128" t="n"/>
      <c r="U107" s="128" t="n"/>
      <c r="V107" s="129" t="n"/>
      <c r="W107" s="128" t="n"/>
      <c r="X107" s="128" t="n"/>
      <c r="Y107" s="128" t="n"/>
      <c r="Z107" s="129" t="n"/>
      <c r="AA107" s="129" t="n"/>
      <c r="AB107" s="129" t="n"/>
      <c r="AC107" s="128" t="n"/>
      <c r="AD107" s="128" t="n"/>
      <c r="AE107" s="128" t="n"/>
      <c r="AF107" s="128" t="n"/>
      <c r="AG107" s="128" t="n"/>
      <c r="AH107" s="129" t="n"/>
      <c r="AI107" s="129" t="n"/>
      <c r="AJ107" s="129" t="n"/>
      <c r="AK107" s="129" t="n"/>
      <c r="AL107" s="129" t="n"/>
      <c r="AM107" s="128" t="n"/>
      <c r="AN107" s="128" t="n"/>
      <c r="AO107" s="129" t="n"/>
      <c r="AP107" s="129" t="n"/>
      <c r="AQ107" s="128" t="n"/>
      <c r="AR107" s="129" t="n"/>
      <c r="AS107" s="128" t="n"/>
      <c r="AT107" s="128" t="n"/>
    </row>
    <row r="108" ht="17" customHeight="1" s="83">
      <c r="A108" s="53" t="n"/>
      <c r="B108" s="53" t="n"/>
      <c r="C108" s="130" t="n"/>
      <c r="D108" s="130" t="n"/>
      <c r="E108" s="130" t="n"/>
      <c r="F108" s="131" t="n"/>
      <c r="G108" s="130" t="n"/>
      <c r="H108" s="130" t="n"/>
      <c r="I108" s="130" t="n"/>
      <c r="J108" s="131" t="n"/>
      <c r="K108" s="130" t="n"/>
      <c r="L108" s="130" t="n"/>
      <c r="M108" s="130" t="n"/>
      <c r="N108" s="131" t="n"/>
      <c r="O108" s="130" t="n"/>
      <c r="P108" s="130" t="n"/>
      <c r="Q108" s="130" t="n"/>
      <c r="R108" s="131" t="n"/>
      <c r="S108" s="130" t="n"/>
      <c r="T108" s="130" t="n"/>
      <c r="U108" s="130" t="n"/>
      <c r="V108" s="131" t="n"/>
      <c r="W108" s="130" t="n"/>
      <c r="X108" s="130" t="n"/>
      <c r="Y108" s="130" t="n"/>
      <c r="Z108" s="131" t="n"/>
      <c r="AA108" s="131" t="n"/>
      <c r="AB108" s="131" t="n"/>
      <c r="AC108" s="130" t="n"/>
      <c r="AD108" s="130" t="n"/>
      <c r="AE108" s="130" t="n"/>
      <c r="AF108" s="130" t="n"/>
      <c r="AG108" s="130" t="n"/>
      <c r="AH108" s="131" t="n"/>
      <c r="AI108" s="131" t="n"/>
      <c r="AJ108" s="131" t="n"/>
      <c r="AK108" s="131" t="n"/>
      <c r="AL108" s="131" t="n"/>
      <c r="AM108" s="130" t="n"/>
      <c r="AN108" s="130" t="n"/>
      <c r="AO108" s="131" t="n"/>
      <c r="AP108" s="131" t="n"/>
      <c r="AQ108" s="130" t="n"/>
      <c r="AR108" s="131" t="n"/>
      <c r="AS108" s="130" t="n"/>
      <c r="AT108" s="130" t="n"/>
    </row>
    <row r="109" ht="17" customHeight="1" s="83">
      <c r="A109" s="53" t="n"/>
      <c r="B109" s="53" t="n"/>
      <c r="C109" s="128" t="n"/>
      <c r="D109" s="128" t="n"/>
      <c r="E109" s="128" t="n"/>
      <c r="F109" s="129" t="n"/>
      <c r="G109" s="128" t="n"/>
      <c r="H109" s="128" t="n"/>
      <c r="I109" s="128" t="n"/>
      <c r="J109" s="129" t="n"/>
      <c r="K109" s="128" t="n"/>
      <c r="L109" s="128" t="n"/>
      <c r="M109" s="128" t="n"/>
      <c r="N109" s="129" t="n"/>
      <c r="O109" s="128" t="n"/>
      <c r="P109" s="128" t="n"/>
      <c r="Q109" s="128" t="n"/>
      <c r="R109" s="129" t="n"/>
      <c r="S109" s="128" t="n"/>
      <c r="T109" s="128" t="n"/>
      <c r="U109" s="128" t="n"/>
      <c r="V109" s="129" t="n"/>
      <c r="W109" s="128" t="n"/>
      <c r="X109" s="128" t="n"/>
      <c r="Y109" s="128" t="n"/>
      <c r="Z109" s="129" t="n"/>
      <c r="AA109" s="129" t="n"/>
      <c r="AB109" s="129" t="n"/>
      <c r="AC109" s="128" t="n"/>
      <c r="AD109" s="128" t="n"/>
      <c r="AE109" s="128" t="n"/>
      <c r="AF109" s="128" t="n"/>
      <c r="AG109" s="128" t="n"/>
      <c r="AH109" s="129" t="n"/>
      <c r="AI109" s="129" t="n"/>
      <c r="AJ109" s="129" t="n"/>
      <c r="AK109" s="129" t="n"/>
      <c r="AL109" s="129" t="n"/>
      <c r="AM109" s="128" t="n"/>
      <c r="AN109" s="128" t="n"/>
      <c r="AO109" s="129" t="n"/>
      <c r="AP109" s="129" t="n"/>
      <c r="AQ109" s="128" t="n"/>
      <c r="AR109" s="129" t="n"/>
      <c r="AS109" s="128" t="n"/>
      <c r="AT109" s="128" t="n"/>
    </row>
    <row r="110" ht="17" customHeight="1" s="83">
      <c r="A110" s="53" t="n"/>
      <c r="B110" s="53" t="n"/>
      <c r="C110" s="130" t="n"/>
      <c r="D110" s="130" t="n"/>
      <c r="E110" s="130" t="n"/>
      <c r="F110" s="131" t="n"/>
      <c r="G110" s="130" t="n"/>
      <c r="H110" s="130" t="n"/>
      <c r="I110" s="130" t="n"/>
      <c r="J110" s="131" t="n"/>
      <c r="K110" s="130" t="n"/>
      <c r="L110" s="130" t="n"/>
      <c r="M110" s="130" t="n"/>
      <c r="N110" s="131" t="n"/>
      <c r="O110" s="130" t="n"/>
      <c r="P110" s="130" t="n"/>
      <c r="Q110" s="130" t="n"/>
      <c r="R110" s="131" t="n"/>
      <c r="S110" s="130" t="n"/>
      <c r="T110" s="130" t="n"/>
      <c r="U110" s="130" t="n"/>
      <c r="V110" s="131" t="n"/>
      <c r="W110" s="130" t="n"/>
      <c r="X110" s="130" t="n"/>
      <c r="Y110" s="130" t="n"/>
      <c r="Z110" s="131" t="n"/>
      <c r="AA110" s="131" t="n"/>
      <c r="AB110" s="131" t="n"/>
      <c r="AC110" s="130" t="n"/>
      <c r="AD110" s="130" t="n"/>
      <c r="AE110" s="130" t="n"/>
      <c r="AF110" s="130" t="n"/>
      <c r="AG110" s="130" t="n"/>
      <c r="AH110" s="131" t="n"/>
      <c r="AI110" s="131" t="n"/>
      <c r="AJ110" s="131" t="n"/>
      <c r="AK110" s="131" t="n"/>
      <c r="AL110" s="131" t="n"/>
      <c r="AM110" s="130" t="n"/>
      <c r="AN110" s="130" t="n"/>
      <c r="AO110" s="131" t="n"/>
      <c r="AP110" s="131" t="n"/>
      <c r="AQ110" s="130" t="n"/>
      <c r="AR110" s="131" t="n"/>
      <c r="AS110" s="130" t="n"/>
      <c r="AT110" s="130" t="n"/>
    </row>
    <row r="111" ht="17" customHeight="1" s="83">
      <c r="A111" s="53" t="n"/>
      <c r="B111" s="53" t="n"/>
      <c r="C111" s="128" t="n"/>
      <c r="D111" s="128" t="n"/>
      <c r="E111" s="128" t="n"/>
      <c r="F111" s="129" t="n"/>
      <c r="G111" s="128" t="n"/>
      <c r="H111" s="128" t="n"/>
      <c r="I111" s="128" t="n"/>
      <c r="J111" s="129" t="n"/>
      <c r="K111" s="128" t="n"/>
      <c r="L111" s="128" t="n"/>
      <c r="M111" s="128" t="n"/>
      <c r="N111" s="129" t="n"/>
      <c r="O111" s="128" t="n"/>
      <c r="P111" s="128" t="n"/>
      <c r="Q111" s="128" t="n"/>
      <c r="R111" s="129" t="n"/>
      <c r="S111" s="128" t="n"/>
      <c r="T111" s="128" t="n"/>
      <c r="U111" s="128" t="n"/>
      <c r="V111" s="129" t="n"/>
      <c r="W111" s="128" t="n"/>
      <c r="X111" s="128" t="n"/>
      <c r="Y111" s="128" t="n"/>
      <c r="Z111" s="129" t="n"/>
      <c r="AA111" s="129" t="n"/>
      <c r="AB111" s="129" t="n"/>
      <c r="AC111" s="128" t="n"/>
      <c r="AD111" s="128" t="n"/>
      <c r="AE111" s="128" t="n"/>
      <c r="AF111" s="128" t="n"/>
      <c r="AG111" s="128" t="n"/>
      <c r="AH111" s="129" t="n"/>
      <c r="AI111" s="129" t="n"/>
      <c r="AJ111" s="129" t="n"/>
      <c r="AK111" s="129" t="n"/>
      <c r="AL111" s="129" t="n"/>
      <c r="AM111" s="128" t="n"/>
      <c r="AN111" s="128" t="n"/>
      <c r="AO111" s="129" t="n"/>
      <c r="AP111" s="129" t="n"/>
      <c r="AQ111" s="128" t="n"/>
      <c r="AR111" s="129" t="n"/>
      <c r="AS111" s="128" t="n"/>
      <c r="AT111" s="128" t="n"/>
    </row>
    <row r="112" ht="18" customHeight="1" s="83">
      <c r="A112" s="47" t="n"/>
      <c r="B112" s="47" t="inlineStr">
        <is>
          <t>小計</t>
        </is>
      </c>
      <c r="C112" s="125" t="n"/>
      <c r="D112" s="125" t="n"/>
      <c r="E112" s="125" t="n"/>
      <c r="F112" s="132" t="n"/>
      <c r="G112" s="125" t="n"/>
      <c r="H112" s="125" t="n"/>
      <c r="I112" s="125" t="n"/>
      <c r="J112" s="132" t="n"/>
      <c r="K112" s="125" t="n"/>
      <c r="L112" s="125" t="n"/>
      <c r="M112" s="125" t="n"/>
      <c r="N112" s="132" t="n"/>
      <c r="O112" s="125" t="n"/>
      <c r="P112" s="125" t="n"/>
      <c r="Q112" s="125" t="n"/>
      <c r="R112" s="132" t="n"/>
      <c r="S112" s="125" t="n"/>
      <c r="T112" s="125" t="n"/>
      <c r="U112" s="125" t="n"/>
      <c r="V112" s="132" t="n"/>
      <c r="W112" s="125" t="n"/>
      <c r="X112" s="125" t="n"/>
      <c r="Y112" s="125" t="n"/>
      <c r="Z112" s="132" t="n"/>
      <c r="AA112" s="132" t="n"/>
      <c r="AB112" s="132" t="n"/>
      <c r="AC112" s="125" t="n"/>
      <c r="AD112" s="125" t="n"/>
      <c r="AE112" s="125" t="n"/>
      <c r="AF112" s="125" t="n"/>
      <c r="AG112" s="125" t="n"/>
      <c r="AH112" s="132" t="n"/>
      <c r="AI112" s="132" t="n"/>
      <c r="AJ112" s="132" t="n"/>
      <c r="AK112" s="132" t="n"/>
      <c r="AL112" s="132" t="n"/>
      <c r="AM112" s="125" t="n"/>
      <c r="AN112" s="125" t="n"/>
      <c r="AO112" s="132" t="n"/>
      <c r="AP112" s="132" t="n"/>
      <c r="AQ112" s="125" t="n"/>
      <c r="AR112" s="132" t="n"/>
      <c r="AS112" s="125" t="n"/>
      <c r="AT112" s="125" t="n"/>
    </row>
    <row r="113">
      <c r="A113" s="107" t="n"/>
      <c r="B113" s="107" t="n"/>
      <c r="C113" s="90" t="n"/>
      <c r="D113" s="90" t="n"/>
      <c r="E113" s="90" t="n"/>
      <c r="F113" s="90" t="n"/>
      <c r="G113" s="90" t="n"/>
      <c r="H113" s="90" t="n"/>
      <c r="I113" s="90" t="n"/>
      <c r="J113" s="90" t="n"/>
      <c r="K113" s="90" t="n"/>
      <c r="L113" s="90" t="n"/>
      <c r="M113" s="90" t="n"/>
      <c r="N113" s="90" t="n"/>
      <c r="O113" s="90" t="n"/>
      <c r="P113" s="90" t="n"/>
      <c r="Q113" s="90" t="n"/>
      <c r="R113" s="90" t="n"/>
      <c r="S113" s="90" t="n"/>
      <c r="T113" s="90" t="n"/>
      <c r="U113" s="90" t="n"/>
      <c r="V113" s="90" t="n"/>
      <c r="W113" s="90" t="n"/>
      <c r="X113" s="90" t="n"/>
      <c r="Y113" s="90" t="n"/>
      <c r="Z113" s="90" t="n"/>
      <c r="AA113" s="90" t="n"/>
      <c r="AB113" s="90" t="n"/>
      <c r="AC113" s="90" t="n"/>
      <c r="AD113" s="90" t="n"/>
      <c r="AE113" s="90" t="n"/>
      <c r="AF113" s="90" t="n"/>
      <c r="AG113" s="90" t="n"/>
      <c r="AH113" s="90" t="n"/>
      <c r="AI113" s="90" t="n"/>
      <c r="AJ113" s="90" t="n"/>
      <c r="AK113" s="90" t="n"/>
      <c r="AL113" s="90" t="n"/>
      <c r="AM113" s="90" t="n"/>
      <c r="AN113" s="90" t="n"/>
      <c r="AO113" s="90" t="n"/>
      <c r="AP113" s="90" t="n"/>
      <c r="AQ113" s="90" t="n"/>
      <c r="AR113" s="90" t="n"/>
      <c r="AS113" s="90" t="n"/>
      <c r="AT113" s="90" t="n"/>
    </row>
    <row r="114">
      <c r="A114" s="107" t="n"/>
      <c r="B114" s="107" t="n"/>
      <c r="C114" s="90" t="n"/>
      <c r="D114" s="90" t="n"/>
      <c r="E114" s="90" t="n"/>
      <c r="F114" s="90" t="n"/>
      <c r="G114" s="90" t="n"/>
      <c r="H114" s="90" t="n"/>
      <c r="I114" s="90" t="n"/>
      <c r="J114" s="90" t="n"/>
      <c r="K114" s="90" t="n"/>
      <c r="L114" s="90" t="n"/>
      <c r="M114" s="90" t="n"/>
      <c r="N114" s="90" t="n"/>
      <c r="O114" s="90" t="n"/>
      <c r="P114" s="90" t="n"/>
      <c r="Q114" s="90" t="n"/>
      <c r="R114" s="90" t="n"/>
      <c r="S114" s="90" t="n"/>
      <c r="T114" s="90" t="n"/>
      <c r="U114" s="90" t="n"/>
      <c r="V114" s="90" t="n"/>
      <c r="W114" s="90" t="n"/>
      <c r="X114" s="90" t="n"/>
      <c r="Y114" s="90" t="n"/>
      <c r="Z114" s="90" t="n"/>
      <c r="AA114" s="90" t="n"/>
      <c r="AB114" s="90" t="n"/>
      <c r="AC114" s="90" t="n"/>
      <c r="AD114" s="90" t="n"/>
      <c r="AE114" s="90" t="n"/>
      <c r="AF114" s="90" t="n"/>
      <c r="AG114" s="90" t="n"/>
      <c r="AH114" s="90" t="n"/>
      <c r="AI114" s="90" t="n"/>
      <c r="AJ114" s="90" t="n"/>
      <c r="AK114" s="90" t="n"/>
      <c r="AL114" s="90" t="n"/>
      <c r="AM114" s="90" t="n"/>
      <c r="AN114" s="90" t="n"/>
      <c r="AO114" s="90" t="n"/>
      <c r="AP114" s="90" t="n"/>
      <c r="AQ114" s="90" t="n"/>
      <c r="AR114" s="90" t="n"/>
      <c r="AS114" s="90" t="n"/>
      <c r="AT114" s="90" t="n"/>
    </row>
    <row r="115" ht="26" customHeight="1" s="83">
      <c r="A115" s="103" t="n"/>
      <c r="B115" s="103" t="inlineStr">
        <is>
          <t>羅東門市</t>
        </is>
      </c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  <c r="AA115" s="113" t="n"/>
      <c r="AB115" s="113" t="n"/>
      <c r="AC115" s="113" t="n"/>
      <c r="AD115" s="113" t="n"/>
      <c r="AE115" s="113" t="n"/>
      <c r="AF115" s="113" t="n"/>
      <c r="AG115" s="113" t="n"/>
      <c r="AH115" s="113" t="n"/>
      <c r="AI115" s="113" t="n"/>
      <c r="AJ115" s="113" t="n"/>
      <c r="AK115" s="113" t="n"/>
      <c r="AL115" s="113" t="n"/>
      <c r="AM115" s="113" t="n"/>
      <c r="AN115" s="113" t="n"/>
      <c r="AO115" s="113" t="n"/>
      <c r="AP115" s="113" t="n"/>
      <c r="AQ115" s="113" t="n"/>
      <c r="AR115" s="113" t="n"/>
      <c r="AS115" s="113" t="n"/>
      <c r="AT115" s="114" t="n"/>
    </row>
    <row r="116" ht="20" customHeight="1" s="83">
      <c r="A116" s="106" t="n"/>
      <c r="B116" s="81" t="inlineStr">
        <is>
          <t>本週</t>
        </is>
      </c>
      <c r="C116" s="91" t="inlineStr">
        <is>
          <t>iPhone</t>
        </is>
      </c>
      <c r="D116" s="113" t="n"/>
      <c r="E116" s="113" t="n"/>
      <c r="F116" s="114" t="n"/>
      <c r="G116" s="92" t="inlineStr">
        <is>
          <t>iPad</t>
        </is>
      </c>
      <c r="H116" s="113" t="n"/>
      <c r="I116" s="113" t="n"/>
      <c r="J116" s="114" t="n"/>
      <c r="K116" s="93" t="inlineStr">
        <is>
          <t>Watch</t>
        </is>
      </c>
      <c r="L116" s="113" t="n"/>
      <c r="M116" s="113" t="n"/>
      <c r="N116" s="114" t="n"/>
      <c r="O116" s="94" t="inlineStr">
        <is>
          <t>Mac</t>
        </is>
      </c>
      <c r="P116" s="113" t="n"/>
      <c r="Q116" s="113" t="n"/>
      <c r="R116" s="114" t="n"/>
      <c r="S116" s="95" t="inlineStr">
        <is>
          <t>AirPods</t>
        </is>
      </c>
      <c r="T116" s="113" t="n"/>
      <c r="U116" s="113" t="n"/>
      <c r="V116" s="114" t="n"/>
      <c r="W116" s="91" t="inlineStr">
        <is>
          <t>iPhone 配件</t>
        </is>
      </c>
      <c r="X116" s="113" t="n"/>
      <c r="Y116" s="113" t="n"/>
      <c r="Z116" s="113" t="n"/>
      <c r="AA116" s="113" t="n"/>
      <c r="AB116" s="114" t="n"/>
      <c r="AC116" s="92" t="inlineStr">
        <is>
          <t>iPad 配件</t>
        </is>
      </c>
      <c r="AD116" s="113" t="n"/>
      <c r="AE116" s="113" t="n"/>
      <c r="AF116" s="113" t="n"/>
      <c r="AG116" s="113" t="n"/>
      <c r="AH116" s="113" t="n"/>
      <c r="AI116" s="113" t="n"/>
      <c r="AJ116" s="113" t="n"/>
      <c r="AK116" s="113" t="n"/>
      <c r="AL116" s="114" t="n"/>
      <c r="AM116" s="93" t="inlineStr">
        <is>
          <t>Watch 配件</t>
        </is>
      </c>
      <c r="AN116" s="113" t="n"/>
      <c r="AO116" s="113" t="n"/>
      <c r="AP116" s="114" t="n"/>
      <c r="AQ116" s="95" t="inlineStr">
        <is>
          <t>AirPods 配件</t>
        </is>
      </c>
      <c r="AR116" s="114" t="n"/>
      <c r="AS116" s="89" t="inlineStr">
        <is>
          <t>喇叭</t>
        </is>
      </c>
      <c r="AT116" s="114" t="n"/>
    </row>
    <row r="117" ht="42" customHeight="1" s="83">
      <c r="A117" s="80" t="inlineStr">
        <is>
          <t>員工代碼</t>
        </is>
      </c>
      <c r="B117" s="60" t="inlineStr">
        <is>
          <t>員工名稱</t>
        </is>
      </c>
      <c r="C117" s="86" t="inlineStr">
        <is>
          <t>台數</t>
        </is>
      </c>
      <c r="D117" s="86" t="inlineStr">
        <is>
          <t>ACPP+</t>
        </is>
      </c>
      <c r="E117" s="86" t="inlineStr">
        <is>
          <t>SAcare</t>
        </is>
      </c>
      <c r="F117" s="86" t="inlineStr">
        <is>
          <t>合計率</t>
        </is>
      </c>
      <c r="G117" s="86" t="inlineStr">
        <is>
          <t>台數</t>
        </is>
      </c>
      <c r="H117" s="86" t="inlineStr">
        <is>
          <t>ACPP+</t>
        </is>
      </c>
      <c r="I117" s="86" t="inlineStr">
        <is>
          <t>SAcare</t>
        </is>
      </c>
      <c r="J117" s="86" t="inlineStr">
        <is>
          <t>合計率</t>
        </is>
      </c>
      <c r="K117" s="86" t="inlineStr">
        <is>
          <t>台數</t>
        </is>
      </c>
      <c r="L117" s="86" t="inlineStr">
        <is>
          <t>ACPP+</t>
        </is>
      </c>
      <c r="M117" s="86" t="inlineStr">
        <is>
          <t>SAcare</t>
        </is>
      </c>
      <c r="N117" s="86" t="inlineStr">
        <is>
          <t>合計率</t>
        </is>
      </c>
      <c r="O117" s="86" t="inlineStr">
        <is>
          <t>台數</t>
        </is>
      </c>
      <c r="P117" s="86" t="inlineStr">
        <is>
          <t>ACPP+</t>
        </is>
      </c>
      <c r="Q117" s="86" t="inlineStr">
        <is>
          <t>SAcare</t>
        </is>
      </c>
      <c r="R117" s="86" t="inlineStr">
        <is>
          <t>合計率</t>
        </is>
      </c>
      <c r="S117" s="86" t="inlineStr">
        <is>
          <t>台數</t>
        </is>
      </c>
      <c r="T117" s="86" t="inlineStr">
        <is>
          <t>ACPP+</t>
        </is>
      </c>
      <c r="U117" s="86" t="inlineStr">
        <is>
          <t>SAcare</t>
        </is>
      </c>
      <c r="V117" s="86" t="inlineStr">
        <is>
          <t>合計率</t>
        </is>
      </c>
      <c r="W117" s="86" t="inlineStr">
        <is>
          <t>保貼</t>
        </is>
      </c>
      <c r="X117" s="86" t="inlineStr">
        <is>
          <t>保護殼</t>
        </is>
      </c>
      <c r="Y117" s="86" t="inlineStr">
        <is>
          <t>鏡頭貼</t>
        </is>
      </c>
      <c r="Z117" s="86" t="inlineStr">
        <is>
          <t>保貼率</t>
        </is>
      </c>
      <c r="AA117" s="86" t="inlineStr">
        <is>
          <t>保護殼率</t>
        </is>
      </c>
      <c r="AB117" s="86" t="inlineStr">
        <is>
          <t>鏡頭貼率</t>
        </is>
      </c>
      <c r="AC117" s="86" t="inlineStr">
        <is>
          <t>原廠筆</t>
        </is>
      </c>
      <c r="AD117" s="86" t="inlineStr">
        <is>
          <t>副廠筆</t>
        </is>
      </c>
      <c r="AE117" s="86" t="inlineStr">
        <is>
          <t>保貼</t>
        </is>
      </c>
      <c r="AF117" s="86" t="inlineStr">
        <is>
          <t>保護殼</t>
        </is>
      </c>
      <c r="AG117" s="86" t="inlineStr">
        <is>
          <t>鍵盤</t>
        </is>
      </c>
      <c r="AH117" s="86" t="inlineStr">
        <is>
          <t>原廠筆率</t>
        </is>
      </c>
      <c r="AI117" s="86" t="inlineStr">
        <is>
          <t>副廠筆率</t>
        </is>
      </c>
      <c r="AJ117" s="86" t="inlineStr">
        <is>
          <t>保貼率</t>
        </is>
      </c>
      <c r="AK117" s="86" t="inlineStr">
        <is>
          <t>保護殼率</t>
        </is>
      </c>
      <c r="AL117" s="86" t="inlineStr">
        <is>
          <t>鍵盤率</t>
        </is>
      </c>
      <c r="AM117" s="86" t="inlineStr">
        <is>
          <t>保貼</t>
        </is>
      </c>
      <c r="AN117" s="86" t="inlineStr">
        <is>
          <t>錶帶</t>
        </is>
      </c>
      <c r="AO117" s="86" t="inlineStr">
        <is>
          <t>保貼率</t>
        </is>
      </c>
      <c r="AP117" s="86" t="inlineStr">
        <is>
          <t>錶帶率</t>
        </is>
      </c>
      <c r="AQ117" s="86" t="inlineStr">
        <is>
          <t>配件數</t>
        </is>
      </c>
      <c r="AR117" s="86" t="inlineStr">
        <is>
          <t>配件率</t>
        </is>
      </c>
      <c r="AS117" s="86" t="inlineStr">
        <is>
          <t>含Momax</t>
        </is>
      </c>
      <c r="AT117" s="86" t="inlineStr">
        <is>
          <t>不含Momax</t>
        </is>
      </c>
    </row>
    <row r="118" ht="17" customHeight="1" s="83">
      <c r="A118" s="53" t="n"/>
      <c r="B118" s="53" t="n"/>
      <c r="C118" s="128" t="n"/>
      <c r="D118" s="128" t="n"/>
      <c r="E118" s="128" t="n"/>
      <c r="F118" s="129" t="n"/>
      <c r="G118" s="128" t="n"/>
      <c r="H118" s="128" t="n"/>
      <c r="I118" s="128" t="n"/>
      <c r="J118" s="129" t="n"/>
      <c r="K118" s="128" t="n"/>
      <c r="L118" s="128" t="n"/>
      <c r="M118" s="128" t="n"/>
      <c r="N118" s="129" t="n"/>
      <c r="O118" s="128" t="n"/>
      <c r="P118" s="128" t="n"/>
      <c r="Q118" s="128" t="n"/>
      <c r="R118" s="129" t="n"/>
      <c r="S118" s="128" t="n"/>
      <c r="T118" s="128" t="n"/>
      <c r="U118" s="128" t="n"/>
      <c r="V118" s="129" t="n"/>
      <c r="W118" s="128" t="n"/>
      <c r="X118" s="128" t="n"/>
      <c r="Y118" s="128" t="n"/>
      <c r="Z118" s="129" t="n"/>
      <c r="AA118" s="129" t="n"/>
      <c r="AB118" s="129" t="n"/>
      <c r="AC118" s="128" t="n"/>
      <c r="AD118" s="128" t="n"/>
      <c r="AE118" s="128" t="n"/>
      <c r="AF118" s="128" t="n"/>
      <c r="AG118" s="128" t="n"/>
      <c r="AH118" s="129" t="n"/>
      <c r="AI118" s="129" t="n"/>
      <c r="AJ118" s="129" t="n"/>
      <c r="AK118" s="129" t="n"/>
      <c r="AL118" s="129" t="n"/>
      <c r="AM118" s="128" t="n"/>
      <c r="AN118" s="128" t="n"/>
      <c r="AO118" s="129" t="n"/>
      <c r="AP118" s="129" t="n"/>
      <c r="AQ118" s="128" t="n"/>
      <c r="AR118" s="129" t="n"/>
      <c r="AS118" s="128" t="n"/>
      <c r="AT118" s="128" t="n"/>
    </row>
    <row r="119" ht="17" customHeight="1" s="83">
      <c r="A119" s="53" t="n"/>
      <c r="B119" s="53" t="n"/>
      <c r="C119" s="130" t="n"/>
      <c r="D119" s="130" t="n"/>
      <c r="E119" s="130" t="n"/>
      <c r="F119" s="131" t="n"/>
      <c r="G119" s="130" t="n"/>
      <c r="H119" s="130" t="n"/>
      <c r="I119" s="130" t="n"/>
      <c r="J119" s="131" t="n"/>
      <c r="K119" s="130" t="n"/>
      <c r="L119" s="130" t="n"/>
      <c r="M119" s="130" t="n"/>
      <c r="N119" s="131" t="n"/>
      <c r="O119" s="130" t="n"/>
      <c r="P119" s="130" t="n"/>
      <c r="Q119" s="130" t="n"/>
      <c r="R119" s="131" t="n"/>
      <c r="S119" s="130" t="n"/>
      <c r="T119" s="130" t="n"/>
      <c r="U119" s="130" t="n"/>
      <c r="V119" s="131" t="n"/>
      <c r="W119" s="130" t="n"/>
      <c r="X119" s="130" t="n"/>
      <c r="Y119" s="130" t="n"/>
      <c r="Z119" s="131" t="n"/>
      <c r="AA119" s="131" t="n"/>
      <c r="AB119" s="131" t="n"/>
      <c r="AC119" s="130" t="n"/>
      <c r="AD119" s="130" t="n"/>
      <c r="AE119" s="130" t="n"/>
      <c r="AF119" s="130" t="n"/>
      <c r="AG119" s="130" t="n"/>
      <c r="AH119" s="131" t="n"/>
      <c r="AI119" s="131" t="n"/>
      <c r="AJ119" s="131" t="n"/>
      <c r="AK119" s="131" t="n"/>
      <c r="AL119" s="131" t="n"/>
      <c r="AM119" s="130" t="n"/>
      <c r="AN119" s="130" t="n"/>
      <c r="AO119" s="131" t="n"/>
      <c r="AP119" s="131" t="n"/>
      <c r="AQ119" s="130" t="n"/>
      <c r="AR119" s="131" t="n"/>
      <c r="AS119" s="130" t="n"/>
      <c r="AT119" s="130" t="n"/>
    </row>
    <row r="120" ht="17" customHeight="1" s="83">
      <c r="A120" s="53" t="n"/>
      <c r="B120" s="53" t="n"/>
      <c r="C120" s="128" t="n"/>
      <c r="D120" s="128" t="n"/>
      <c r="E120" s="128" t="n"/>
      <c r="F120" s="129" t="n"/>
      <c r="G120" s="128" t="n"/>
      <c r="H120" s="128" t="n"/>
      <c r="I120" s="128" t="n"/>
      <c r="J120" s="129" t="n"/>
      <c r="K120" s="128" t="n"/>
      <c r="L120" s="128" t="n"/>
      <c r="M120" s="128" t="n"/>
      <c r="N120" s="129" t="n"/>
      <c r="O120" s="128" t="n"/>
      <c r="P120" s="128" t="n"/>
      <c r="Q120" s="128" t="n"/>
      <c r="R120" s="129" t="n"/>
      <c r="S120" s="128" t="n"/>
      <c r="T120" s="128" t="n"/>
      <c r="U120" s="128" t="n"/>
      <c r="V120" s="129" t="n"/>
      <c r="W120" s="128" t="n"/>
      <c r="X120" s="128" t="n"/>
      <c r="Y120" s="128" t="n"/>
      <c r="Z120" s="129" t="n"/>
      <c r="AA120" s="129" t="n"/>
      <c r="AB120" s="129" t="n"/>
      <c r="AC120" s="128" t="n"/>
      <c r="AD120" s="128" t="n"/>
      <c r="AE120" s="128" t="n"/>
      <c r="AF120" s="128" t="n"/>
      <c r="AG120" s="128" t="n"/>
      <c r="AH120" s="129" t="n"/>
      <c r="AI120" s="129" t="n"/>
      <c r="AJ120" s="129" t="n"/>
      <c r="AK120" s="129" t="n"/>
      <c r="AL120" s="129" t="n"/>
      <c r="AM120" s="128" t="n"/>
      <c r="AN120" s="128" t="n"/>
      <c r="AO120" s="129" t="n"/>
      <c r="AP120" s="129" t="n"/>
      <c r="AQ120" s="128" t="n"/>
      <c r="AR120" s="129" t="n"/>
      <c r="AS120" s="128" t="n"/>
      <c r="AT120" s="128" t="n"/>
    </row>
    <row r="121" ht="17" customHeight="1" s="83">
      <c r="A121" s="53" t="n"/>
      <c r="B121" s="53" t="n"/>
      <c r="C121" s="130" t="n"/>
      <c r="D121" s="130" t="n"/>
      <c r="E121" s="130" t="n"/>
      <c r="F121" s="131" t="n"/>
      <c r="G121" s="130" t="n"/>
      <c r="H121" s="130" t="n"/>
      <c r="I121" s="130" t="n"/>
      <c r="J121" s="131" t="n"/>
      <c r="K121" s="130" t="n"/>
      <c r="L121" s="130" t="n"/>
      <c r="M121" s="130" t="n"/>
      <c r="N121" s="131" t="n"/>
      <c r="O121" s="130" t="n"/>
      <c r="P121" s="130" t="n"/>
      <c r="Q121" s="130" t="n"/>
      <c r="R121" s="131" t="n"/>
      <c r="S121" s="130" t="n"/>
      <c r="T121" s="130" t="n"/>
      <c r="U121" s="130" t="n"/>
      <c r="V121" s="131" t="n"/>
      <c r="W121" s="130" t="n"/>
      <c r="X121" s="130" t="n"/>
      <c r="Y121" s="130" t="n"/>
      <c r="Z121" s="131" t="n"/>
      <c r="AA121" s="131" t="n"/>
      <c r="AB121" s="131" t="n"/>
      <c r="AC121" s="130" t="n"/>
      <c r="AD121" s="130" t="n"/>
      <c r="AE121" s="130" t="n"/>
      <c r="AF121" s="130" t="n"/>
      <c r="AG121" s="130" t="n"/>
      <c r="AH121" s="131" t="n"/>
      <c r="AI121" s="131" t="n"/>
      <c r="AJ121" s="131" t="n"/>
      <c r="AK121" s="131" t="n"/>
      <c r="AL121" s="131" t="n"/>
      <c r="AM121" s="130" t="n"/>
      <c r="AN121" s="130" t="n"/>
      <c r="AO121" s="131" t="n"/>
      <c r="AP121" s="131" t="n"/>
      <c r="AQ121" s="130" t="n"/>
      <c r="AR121" s="131" t="n"/>
      <c r="AS121" s="130" t="n"/>
      <c r="AT121" s="130" t="n"/>
    </row>
    <row r="122" ht="18" customHeight="1" s="83">
      <c r="A122" s="47" t="n"/>
      <c r="B122" s="47" t="inlineStr">
        <is>
          <t>小計</t>
        </is>
      </c>
      <c r="C122" s="125" t="n"/>
      <c r="D122" s="125" t="n"/>
      <c r="E122" s="125" t="n"/>
      <c r="F122" s="132" t="n"/>
      <c r="G122" s="125" t="n"/>
      <c r="H122" s="125" t="n"/>
      <c r="I122" s="125" t="n"/>
      <c r="J122" s="132" t="n"/>
      <c r="K122" s="125" t="n"/>
      <c r="L122" s="125" t="n"/>
      <c r="M122" s="125" t="n"/>
      <c r="N122" s="132" t="n"/>
      <c r="O122" s="125" t="n"/>
      <c r="P122" s="125" t="n"/>
      <c r="Q122" s="125" t="n"/>
      <c r="R122" s="132" t="n"/>
      <c r="S122" s="125" t="n"/>
      <c r="T122" s="125" t="n"/>
      <c r="U122" s="125" t="n"/>
      <c r="V122" s="132" t="n"/>
      <c r="W122" s="125" t="n"/>
      <c r="X122" s="125" t="n"/>
      <c r="Y122" s="125" t="n"/>
      <c r="Z122" s="132" t="n"/>
      <c r="AA122" s="132" t="n"/>
      <c r="AB122" s="132" t="n"/>
      <c r="AC122" s="125" t="n"/>
      <c r="AD122" s="125" t="n"/>
      <c r="AE122" s="125" t="n"/>
      <c r="AF122" s="125" t="n"/>
      <c r="AG122" s="125" t="n"/>
      <c r="AH122" s="132" t="n"/>
      <c r="AI122" s="132" t="n"/>
      <c r="AJ122" s="132" t="n"/>
      <c r="AK122" s="132" t="n"/>
      <c r="AL122" s="132" t="n"/>
      <c r="AM122" s="125" t="n"/>
      <c r="AN122" s="125" t="n"/>
      <c r="AO122" s="132" t="n"/>
      <c r="AP122" s="132" t="n"/>
      <c r="AQ122" s="125" t="n"/>
      <c r="AR122" s="132" t="n"/>
      <c r="AS122" s="125" t="n"/>
      <c r="AT122" s="125" t="n"/>
    </row>
    <row r="123" ht="20" customHeight="1" s="83">
      <c r="A123" s="106" t="n"/>
      <c r="B123" s="81" t="inlineStr">
        <is>
          <t>月累積</t>
        </is>
      </c>
      <c r="C123" s="91" t="inlineStr">
        <is>
          <t>iPhone</t>
        </is>
      </c>
      <c r="D123" s="113" t="n"/>
      <c r="E123" s="113" t="n"/>
      <c r="F123" s="114" t="n"/>
      <c r="G123" s="92" t="inlineStr">
        <is>
          <t>iPad</t>
        </is>
      </c>
      <c r="H123" s="113" t="n"/>
      <c r="I123" s="113" t="n"/>
      <c r="J123" s="114" t="n"/>
      <c r="K123" s="93" t="inlineStr">
        <is>
          <t>Watch</t>
        </is>
      </c>
      <c r="L123" s="113" t="n"/>
      <c r="M123" s="113" t="n"/>
      <c r="N123" s="114" t="n"/>
      <c r="O123" s="94" t="inlineStr">
        <is>
          <t>Mac</t>
        </is>
      </c>
      <c r="P123" s="113" t="n"/>
      <c r="Q123" s="113" t="n"/>
      <c r="R123" s="114" t="n"/>
      <c r="S123" s="95" t="inlineStr">
        <is>
          <t>AirPods</t>
        </is>
      </c>
      <c r="T123" s="113" t="n"/>
      <c r="U123" s="113" t="n"/>
      <c r="V123" s="114" t="n"/>
      <c r="W123" s="91" t="inlineStr">
        <is>
          <t>iPhone 配件</t>
        </is>
      </c>
      <c r="X123" s="113" t="n"/>
      <c r="Y123" s="113" t="n"/>
      <c r="Z123" s="113" t="n"/>
      <c r="AA123" s="113" t="n"/>
      <c r="AB123" s="114" t="n"/>
      <c r="AC123" s="92" t="inlineStr">
        <is>
          <t>iPad 配件</t>
        </is>
      </c>
      <c r="AD123" s="113" t="n"/>
      <c r="AE123" s="113" t="n"/>
      <c r="AF123" s="113" t="n"/>
      <c r="AG123" s="113" t="n"/>
      <c r="AH123" s="113" t="n"/>
      <c r="AI123" s="113" t="n"/>
      <c r="AJ123" s="113" t="n"/>
      <c r="AK123" s="113" t="n"/>
      <c r="AL123" s="114" t="n"/>
      <c r="AM123" s="93" t="inlineStr">
        <is>
          <t>Watch 配件</t>
        </is>
      </c>
      <c r="AN123" s="113" t="n"/>
      <c r="AO123" s="113" t="n"/>
      <c r="AP123" s="114" t="n"/>
      <c r="AQ123" s="95" t="inlineStr">
        <is>
          <t>AirPods 配件</t>
        </is>
      </c>
      <c r="AR123" s="114" t="n"/>
      <c r="AS123" s="89" t="inlineStr">
        <is>
          <t>喇叭</t>
        </is>
      </c>
      <c r="AT123" s="114" t="n"/>
    </row>
    <row r="124" ht="42" customHeight="1" s="83">
      <c r="A124" s="80" t="inlineStr">
        <is>
          <t>員工代碼</t>
        </is>
      </c>
      <c r="B124" s="60" t="inlineStr">
        <is>
          <t>員工名稱</t>
        </is>
      </c>
      <c r="C124" s="86" t="inlineStr">
        <is>
          <t>台數</t>
        </is>
      </c>
      <c r="D124" s="86" t="inlineStr">
        <is>
          <t>ACPP+</t>
        </is>
      </c>
      <c r="E124" s="86" t="inlineStr">
        <is>
          <t>SAcare</t>
        </is>
      </c>
      <c r="F124" s="86" t="inlineStr">
        <is>
          <t>合計率</t>
        </is>
      </c>
      <c r="G124" s="86" t="inlineStr">
        <is>
          <t>台數</t>
        </is>
      </c>
      <c r="H124" s="86" t="inlineStr">
        <is>
          <t>ACPP+</t>
        </is>
      </c>
      <c r="I124" s="86" t="inlineStr">
        <is>
          <t>SAcare</t>
        </is>
      </c>
      <c r="J124" s="86" t="inlineStr">
        <is>
          <t>合計率</t>
        </is>
      </c>
      <c r="K124" s="86" t="inlineStr">
        <is>
          <t>台數</t>
        </is>
      </c>
      <c r="L124" s="86" t="inlineStr">
        <is>
          <t>ACPP+</t>
        </is>
      </c>
      <c r="M124" s="86" t="inlineStr">
        <is>
          <t>SAcare</t>
        </is>
      </c>
      <c r="N124" s="86" t="inlineStr">
        <is>
          <t>合計率</t>
        </is>
      </c>
      <c r="O124" s="86" t="inlineStr">
        <is>
          <t>台數</t>
        </is>
      </c>
      <c r="P124" s="86" t="inlineStr">
        <is>
          <t>ACPP+</t>
        </is>
      </c>
      <c r="Q124" s="86" t="inlineStr">
        <is>
          <t>SAcare</t>
        </is>
      </c>
      <c r="R124" s="86" t="inlineStr">
        <is>
          <t>合計率</t>
        </is>
      </c>
      <c r="S124" s="86" t="inlineStr">
        <is>
          <t>台數</t>
        </is>
      </c>
      <c r="T124" s="86" t="inlineStr">
        <is>
          <t>ACPP+</t>
        </is>
      </c>
      <c r="U124" s="86" t="inlineStr">
        <is>
          <t>SAcare</t>
        </is>
      </c>
      <c r="V124" s="86" t="inlineStr">
        <is>
          <t>合計率</t>
        </is>
      </c>
      <c r="W124" s="86" t="inlineStr">
        <is>
          <t>保貼</t>
        </is>
      </c>
      <c r="X124" s="86" t="inlineStr">
        <is>
          <t>保護殼</t>
        </is>
      </c>
      <c r="Y124" s="86" t="inlineStr">
        <is>
          <t>鏡頭貼</t>
        </is>
      </c>
      <c r="Z124" s="86" t="inlineStr">
        <is>
          <t>保貼率</t>
        </is>
      </c>
      <c r="AA124" s="86" t="inlineStr">
        <is>
          <t>保護殼率</t>
        </is>
      </c>
      <c r="AB124" s="86" t="inlineStr">
        <is>
          <t>鏡頭貼率</t>
        </is>
      </c>
      <c r="AC124" s="86" t="inlineStr">
        <is>
          <t>原廠筆</t>
        </is>
      </c>
      <c r="AD124" s="86" t="inlineStr">
        <is>
          <t>副廠筆</t>
        </is>
      </c>
      <c r="AE124" s="86" t="inlineStr">
        <is>
          <t>保貼</t>
        </is>
      </c>
      <c r="AF124" s="86" t="inlineStr">
        <is>
          <t>保護殼</t>
        </is>
      </c>
      <c r="AG124" s="86" t="inlineStr">
        <is>
          <t>鍵盤</t>
        </is>
      </c>
      <c r="AH124" s="86" t="inlineStr">
        <is>
          <t>原廠筆率</t>
        </is>
      </c>
      <c r="AI124" s="86" t="inlineStr">
        <is>
          <t>副廠筆率</t>
        </is>
      </c>
      <c r="AJ124" s="86" t="inlineStr">
        <is>
          <t>保貼率</t>
        </is>
      </c>
      <c r="AK124" s="86" t="inlineStr">
        <is>
          <t>保護殼率</t>
        </is>
      </c>
      <c r="AL124" s="86" t="inlineStr">
        <is>
          <t>鍵盤率</t>
        </is>
      </c>
      <c r="AM124" s="86" t="inlineStr">
        <is>
          <t>保貼</t>
        </is>
      </c>
      <c r="AN124" s="86" t="inlineStr">
        <is>
          <t>錶帶</t>
        </is>
      </c>
      <c r="AO124" s="86" t="inlineStr">
        <is>
          <t>保貼率</t>
        </is>
      </c>
      <c r="AP124" s="86" t="inlineStr">
        <is>
          <t>錶帶率</t>
        </is>
      </c>
      <c r="AQ124" s="86" t="inlineStr">
        <is>
          <t>配件數</t>
        </is>
      </c>
      <c r="AR124" s="86" t="inlineStr">
        <is>
          <t>配件率</t>
        </is>
      </c>
      <c r="AS124" s="86" t="inlineStr">
        <is>
          <t>含Momax</t>
        </is>
      </c>
      <c r="AT124" s="86" t="inlineStr">
        <is>
          <t>不含Momax</t>
        </is>
      </c>
    </row>
    <row r="125" ht="17" customHeight="1" s="83">
      <c r="A125" s="53" t="n"/>
      <c r="B125" s="53" t="n"/>
      <c r="C125" s="128" t="n"/>
      <c r="D125" s="128" t="n"/>
      <c r="E125" s="128" t="n"/>
      <c r="F125" s="129" t="n"/>
      <c r="G125" s="128" t="n"/>
      <c r="H125" s="128" t="n"/>
      <c r="I125" s="128" t="n"/>
      <c r="J125" s="129" t="n"/>
      <c r="K125" s="128" t="n"/>
      <c r="L125" s="128" t="n"/>
      <c r="M125" s="128" t="n"/>
      <c r="N125" s="129" t="n"/>
      <c r="O125" s="128" t="n"/>
      <c r="P125" s="128" t="n"/>
      <c r="Q125" s="128" t="n"/>
      <c r="R125" s="129" t="n"/>
      <c r="S125" s="128" t="n"/>
      <c r="T125" s="128" t="n"/>
      <c r="U125" s="128" t="n"/>
      <c r="V125" s="129" t="n"/>
      <c r="W125" s="128" t="n"/>
      <c r="X125" s="128" t="n"/>
      <c r="Y125" s="128" t="n"/>
      <c r="Z125" s="129" t="n"/>
      <c r="AA125" s="129" t="n"/>
      <c r="AB125" s="129" t="n"/>
      <c r="AC125" s="128" t="n"/>
      <c r="AD125" s="128" t="n"/>
      <c r="AE125" s="128" t="n"/>
      <c r="AF125" s="128" t="n"/>
      <c r="AG125" s="128" t="n"/>
      <c r="AH125" s="129" t="n"/>
      <c r="AI125" s="129" t="n"/>
      <c r="AJ125" s="129" t="n"/>
      <c r="AK125" s="129" t="n"/>
      <c r="AL125" s="129" t="n"/>
      <c r="AM125" s="128" t="n"/>
      <c r="AN125" s="128" t="n"/>
      <c r="AO125" s="129" t="n"/>
      <c r="AP125" s="129" t="n"/>
      <c r="AQ125" s="128" t="n"/>
      <c r="AR125" s="129" t="n"/>
      <c r="AS125" s="128" t="n"/>
      <c r="AT125" s="128" t="n"/>
    </row>
    <row r="126" ht="17" customHeight="1" s="83">
      <c r="A126" s="53" t="n"/>
      <c r="B126" s="53" t="n"/>
      <c r="C126" s="130" t="n"/>
      <c r="D126" s="130" t="n"/>
      <c r="E126" s="130" t="n"/>
      <c r="F126" s="131" t="n"/>
      <c r="G126" s="130" t="n"/>
      <c r="H126" s="130" t="n"/>
      <c r="I126" s="130" t="n"/>
      <c r="J126" s="131" t="n"/>
      <c r="K126" s="130" t="n"/>
      <c r="L126" s="130" t="n"/>
      <c r="M126" s="130" t="n"/>
      <c r="N126" s="131" t="n"/>
      <c r="O126" s="130" t="n"/>
      <c r="P126" s="130" t="n"/>
      <c r="Q126" s="130" t="n"/>
      <c r="R126" s="131" t="n"/>
      <c r="S126" s="130" t="n"/>
      <c r="T126" s="130" t="n"/>
      <c r="U126" s="130" t="n"/>
      <c r="V126" s="131" t="n"/>
      <c r="W126" s="130" t="n"/>
      <c r="X126" s="130" t="n"/>
      <c r="Y126" s="130" t="n"/>
      <c r="Z126" s="131" t="n"/>
      <c r="AA126" s="131" t="n"/>
      <c r="AB126" s="131" t="n"/>
      <c r="AC126" s="130" t="n"/>
      <c r="AD126" s="130" t="n"/>
      <c r="AE126" s="130" t="n"/>
      <c r="AF126" s="130" t="n"/>
      <c r="AG126" s="130" t="n"/>
      <c r="AH126" s="131" t="n"/>
      <c r="AI126" s="131" t="n"/>
      <c r="AJ126" s="131" t="n"/>
      <c r="AK126" s="131" t="n"/>
      <c r="AL126" s="131" t="n"/>
      <c r="AM126" s="130" t="n"/>
      <c r="AN126" s="130" t="n"/>
      <c r="AO126" s="131" t="n"/>
      <c r="AP126" s="131" t="n"/>
      <c r="AQ126" s="130" t="n"/>
      <c r="AR126" s="131" t="n"/>
      <c r="AS126" s="130" t="n"/>
      <c r="AT126" s="130" t="n"/>
    </row>
    <row r="127" ht="17" customHeight="1" s="83">
      <c r="A127" s="53" t="n"/>
      <c r="B127" s="53" t="n"/>
      <c r="C127" s="128" t="n"/>
      <c r="D127" s="128" t="n"/>
      <c r="E127" s="128" t="n"/>
      <c r="F127" s="129" t="n"/>
      <c r="G127" s="128" t="n"/>
      <c r="H127" s="128" t="n"/>
      <c r="I127" s="128" t="n"/>
      <c r="J127" s="129" t="n"/>
      <c r="K127" s="128" t="n"/>
      <c r="L127" s="128" t="n"/>
      <c r="M127" s="128" t="n"/>
      <c r="N127" s="129" t="n"/>
      <c r="O127" s="128" t="n"/>
      <c r="P127" s="128" t="n"/>
      <c r="Q127" s="128" t="n"/>
      <c r="R127" s="129" t="n"/>
      <c r="S127" s="128" t="n"/>
      <c r="T127" s="128" t="n"/>
      <c r="U127" s="128" t="n"/>
      <c r="V127" s="129" t="n"/>
      <c r="W127" s="128" t="n"/>
      <c r="X127" s="128" t="n"/>
      <c r="Y127" s="128" t="n"/>
      <c r="Z127" s="129" t="n"/>
      <c r="AA127" s="129" t="n"/>
      <c r="AB127" s="129" t="n"/>
      <c r="AC127" s="128" t="n"/>
      <c r="AD127" s="128" t="n"/>
      <c r="AE127" s="128" t="n"/>
      <c r="AF127" s="128" t="n"/>
      <c r="AG127" s="128" t="n"/>
      <c r="AH127" s="129" t="n"/>
      <c r="AI127" s="129" t="n"/>
      <c r="AJ127" s="129" t="n"/>
      <c r="AK127" s="129" t="n"/>
      <c r="AL127" s="129" t="n"/>
      <c r="AM127" s="128" t="n"/>
      <c r="AN127" s="128" t="n"/>
      <c r="AO127" s="129" t="n"/>
      <c r="AP127" s="129" t="n"/>
      <c r="AQ127" s="128" t="n"/>
      <c r="AR127" s="129" t="n"/>
      <c r="AS127" s="128" t="n"/>
      <c r="AT127" s="128" t="n"/>
    </row>
    <row r="128" ht="17" customHeight="1" s="83">
      <c r="A128" s="53" t="n"/>
      <c r="B128" s="53" t="n"/>
      <c r="C128" s="130" t="n"/>
      <c r="D128" s="130" t="n"/>
      <c r="E128" s="130" t="n"/>
      <c r="F128" s="131" t="n"/>
      <c r="G128" s="130" t="n"/>
      <c r="H128" s="130" t="n"/>
      <c r="I128" s="130" t="n"/>
      <c r="J128" s="131" t="n"/>
      <c r="K128" s="130" t="n"/>
      <c r="L128" s="130" t="n"/>
      <c r="M128" s="130" t="n"/>
      <c r="N128" s="131" t="n"/>
      <c r="O128" s="130" t="n"/>
      <c r="P128" s="130" t="n"/>
      <c r="Q128" s="130" t="n"/>
      <c r="R128" s="131" t="n"/>
      <c r="S128" s="130" t="n"/>
      <c r="T128" s="130" t="n"/>
      <c r="U128" s="130" t="n"/>
      <c r="V128" s="131" t="n"/>
      <c r="W128" s="130" t="n"/>
      <c r="X128" s="130" t="n"/>
      <c r="Y128" s="130" t="n"/>
      <c r="Z128" s="131" t="n"/>
      <c r="AA128" s="131" t="n"/>
      <c r="AB128" s="131" t="n"/>
      <c r="AC128" s="130" t="n"/>
      <c r="AD128" s="130" t="n"/>
      <c r="AE128" s="130" t="n"/>
      <c r="AF128" s="130" t="n"/>
      <c r="AG128" s="130" t="n"/>
      <c r="AH128" s="131" t="n"/>
      <c r="AI128" s="131" t="n"/>
      <c r="AJ128" s="131" t="n"/>
      <c r="AK128" s="131" t="n"/>
      <c r="AL128" s="131" t="n"/>
      <c r="AM128" s="130" t="n"/>
      <c r="AN128" s="130" t="n"/>
      <c r="AO128" s="131" t="n"/>
      <c r="AP128" s="131" t="n"/>
      <c r="AQ128" s="130" t="n"/>
      <c r="AR128" s="131" t="n"/>
      <c r="AS128" s="130" t="n"/>
      <c r="AT128" s="130" t="n"/>
    </row>
    <row r="129" ht="17" customHeight="1" s="83">
      <c r="A129" s="53" t="n"/>
      <c r="B129" s="53" t="n"/>
      <c r="C129" s="128" t="n"/>
      <c r="D129" s="128" t="n"/>
      <c r="E129" s="128" t="n"/>
      <c r="F129" s="129" t="n"/>
      <c r="G129" s="128" t="n"/>
      <c r="H129" s="128" t="n"/>
      <c r="I129" s="128" t="n"/>
      <c r="J129" s="129" t="n"/>
      <c r="K129" s="128" t="n"/>
      <c r="L129" s="128" t="n"/>
      <c r="M129" s="128" t="n"/>
      <c r="N129" s="129" t="n"/>
      <c r="O129" s="128" t="n"/>
      <c r="P129" s="128" t="n"/>
      <c r="Q129" s="128" t="n"/>
      <c r="R129" s="129" t="n"/>
      <c r="S129" s="128" t="n"/>
      <c r="T129" s="128" t="n"/>
      <c r="U129" s="128" t="n"/>
      <c r="V129" s="129" t="n"/>
      <c r="W129" s="128" t="n"/>
      <c r="X129" s="128" t="n"/>
      <c r="Y129" s="128" t="n"/>
      <c r="Z129" s="129" t="n"/>
      <c r="AA129" s="129" t="n"/>
      <c r="AB129" s="129" t="n"/>
      <c r="AC129" s="128" t="n"/>
      <c r="AD129" s="128" t="n"/>
      <c r="AE129" s="128" t="n"/>
      <c r="AF129" s="128" t="n"/>
      <c r="AG129" s="128" t="n"/>
      <c r="AH129" s="129" t="n"/>
      <c r="AI129" s="129" t="n"/>
      <c r="AJ129" s="129" t="n"/>
      <c r="AK129" s="129" t="n"/>
      <c r="AL129" s="129" t="n"/>
      <c r="AM129" s="128" t="n"/>
      <c r="AN129" s="128" t="n"/>
      <c r="AO129" s="129" t="n"/>
      <c r="AP129" s="129" t="n"/>
      <c r="AQ129" s="128" t="n"/>
      <c r="AR129" s="129" t="n"/>
      <c r="AS129" s="128" t="n"/>
      <c r="AT129" s="128" t="n"/>
    </row>
    <row r="130" ht="18" customHeight="1" s="83">
      <c r="A130" s="133" t="n"/>
      <c r="B130" s="47" t="inlineStr">
        <is>
          <t>小計</t>
        </is>
      </c>
      <c r="C130" s="125" t="n"/>
      <c r="D130" s="125" t="n"/>
      <c r="E130" s="125" t="n"/>
      <c r="F130" s="132" t="n"/>
      <c r="G130" s="125" t="n"/>
      <c r="H130" s="125" t="n"/>
      <c r="I130" s="125" t="n"/>
      <c r="J130" s="132" t="n"/>
      <c r="K130" s="125" t="n"/>
      <c r="L130" s="125" t="n"/>
      <c r="M130" s="125" t="n"/>
      <c r="N130" s="132" t="n"/>
      <c r="O130" s="125" t="n"/>
      <c r="P130" s="125" t="n"/>
      <c r="Q130" s="125" t="n"/>
      <c r="R130" s="132" t="n"/>
      <c r="S130" s="125" t="n"/>
      <c r="T130" s="125" t="n"/>
      <c r="U130" s="125" t="n"/>
      <c r="V130" s="132" t="n"/>
      <c r="W130" s="125" t="n"/>
      <c r="X130" s="125" t="n"/>
      <c r="Y130" s="125" t="n"/>
      <c r="Z130" s="132" t="n"/>
      <c r="AA130" s="132" t="n"/>
      <c r="AB130" s="132" t="n"/>
      <c r="AC130" s="125" t="n"/>
      <c r="AD130" s="125" t="n"/>
      <c r="AE130" s="125" t="n"/>
      <c r="AF130" s="125" t="n"/>
      <c r="AG130" s="125" t="n"/>
      <c r="AH130" s="132" t="n"/>
      <c r="AI130" s="132" t="n"/>
      <c r="AJ130" s="132" t="n"/>
      <c r="AK130" s="132" t="n"/>
      <c r="AL130" s="132" t="n"/>
      <c r="AM130" s="125" t="n"/>
      <c r="AN130" s="125" t="n"/>
      <c r="AO130" s="132" t="n"/>
      <c r="AP130" s="132" t="n"/>
      <c r="AQ130" s="125" t="n"/>
      <c r="AR130" s="132" t="n"/>
      <c r="AS130" s="125" t="n"/>
      <c r="AT130" s="125" t="n"/>
    </row>
  </sheetData>
  <mergeCells count="126">
    <mergeCell ref="O67:R67"/>
    <mergeCell ref="C32:F32"/>
    <mergeCell ref="AQ32:AR32"/>
    <mergeCell ref="G32:J32"/>
    <mergeCell ref="S44:V44"/>
    <mergeCell ref="AC123:AL123"/>
    <mergeCell ref="B23:AT23"/>
    <mergeCell ref="C78:F78"/>
    <mergeCell ref="AM32:AP32"/>
    <mergeCell ref="O78:R78"/>
    <mergeCell ref="K24:N24"/>
    <mergeCell ref="C24:F24"/>
    <mergeCell ref="C116:F116"/>
    <mergeCell ref="AQ2:AR2"/>
    <mergeCell ref="W103:AB103"/>
    <mergeCell ref="AS2:AT2"/>
    <mergeCell ref="C54:F54"/>
    <mergeCell ref="C93:F93"/>
    <mergeCell ref="O54:R54"/>
    <mergeCell ref="O32:R32"/>
    <mergeCell ref="AM24:AP24"/>
    <mergeCell ref="AQ93:AR93"/>
    <mergeCell ref="O93:R93"/>
    <mergeCell ref="AC67:AL67"/>
    <mergeCell ref="W24:AB24"/>
    <mergeCell ref="AM123:AP123"/>
    <mergeCell ref="K67:N67"/>
    <mergeCell ref="K2:N2"/>
    <mergeCell ref="C2:F2"/>
    <mergeCell ref="G123:J123"/>
    <mergeCell ref="AC44:AL44"/>
    <mergeCell ref="B115:AT115"/>
    <mergeCell ref="W123:AB123"/>
    <mergeCell ref="O11:R11"/>
    <mergeCell ref="C67:F67"/>
    <mergeCell ref="K116:N116"/>
    <mergeCell ref="K103:N103"/>
    <mergeCell ref="AS44:AT44"/>
    <mergeCell ref="G44:J44"/>
    <mergeCell ref="AQ116:AR116"/>
    <mergeCell ref="K78:N78"/>
    <mergeCell ref="W93:AB93"/>
    <mergeCell ref="B1:AT1"/>
    <mergeCell ref="G67:J67"/>
    <mergeCell ref="W67:AB67"/>
    <mergeCell ref="K32:N32"/>
    <mergeCell ref="W78:AB78"/>
    <mergeCell ref="G24:J24"/>
    <mergeCell ref="AS93:AT93"/>
    <mergeCell ref="C123:F123"/>
    <mergeCell ref="S24:V24"/>
    <mergeCell ref="AQ123:AR123"/>
    <mergeCell ref="AC103:AL103"/>
    <mergeCell ref="AM54:AP54"/>
    <mergeCell ref="O123:R123"/>
    <mergeCell ref="B66:AT66"/>
    <mergeCell ref="W54:AB54"/>
    <mergeCell ref="W32:AB32"/>
    <mergeCell ref="AQ11:AR11"/>
    <mergeCell ref="AS123:AT123"/>
    <mergeCell ref="AQ103:AR103"/>
    <mergeCell ref="O2:R2"/>
    <mergeCell ref="S123:V123"/>
    <mergeCell ref="AC11:AL11"/>
    <mergeCell ref="K93:N93"/>
    <mergeCell ref="AM2:AP2"/>
    <mergeCell ref="G2:J2"/>
    <mergeCell ref="G11:J11"/>
    <mergeCell ref="W2:AB2"/>
    <mergeCell ref="AC32:AL32"/>
    <mergeCell ref="W11:AB11"/>
    <mergeCell ref="S93:V93"/>
    <mergeCell ref="K54:N54"/>
    <mergeCell ref="AC78:AL78"/>
    <mergeCell ref="K11:N11"/>
    <mergeCell ref="G116:J116"/>
    <mergeCell ref="AS32:AT32"/>
    <mergeCell ref="S67:V67"/>
    <mergeCell ref="O103:R103"/>
    <mergeCell ref="AS103:AT103"/>
    <mergeCell ref="G103:J103"/>
    <mergeCell ref="W116:AB116"/>
    <mergeCell ref="C44:F44"/>
    <mergeCell ref="AC24:AL24"/>
    <mergeCell ref="AM44:AP44"/>
    <mergeCell ref="AQ78:AR78"/>
    <mergeCell ref="AS78:AT78"/>
    <mergeCell ref="O44:R44"/>
    <mergeCell ref="G78:J78"/>
    <mergeCell ref="AC116:AL116"/>
    <mergeCell ref="S78:V78"/>
    <mergeCell ref="AQ24:AR24"/>
    <mergeCell ref="AM78:AP78"/>
    <mergeCell ref="AS24:AT24"/>
    <mergeCell ref="AC54:AL54"/>
    <mergeCell ref="AC93:AL93"/>
    <mergeCell ref="AQ54:AR54"/>
    <mergeCell ref="AS54:AT54"/>
    <mergeCell ref="B43:AT43"/>
    <mergeCell ref="G54:J54"/>
    <mergeCell ref="S54:V54"/>
    <mergeCell ref="S32:V32"/>
    <mergeCell ref="AC2:AL2"/>
    <mergeCell ref="O24:R24"/>
    <mergeCell ref="O116:R116"/>
    <mergeCell ref="K123:N123"/>
    <mergeCell ref="AS11:AT11"/>
    <mergeCell ref="AM93:AP93"/>
    <mergeCell ref="S2:V2"/>
    <mergeCell ref="AQ67:AR67"/>
    <mergeCell ref="S11:V11"/>
    <mergeCell ref="AS67:AT67"/>
    <mergeCell ref="B92:AT92"/>
    <mergeCell ref="C103:F103"/>
    <mergeCell ref="W44:AB44"/>
    <mergeCell ref="G93:J93"/>
    <mergeCell ref="K44:N44"/>
    <mergeCell ref="AM67:AP67"/>
    <mergeCell ref="AS116:AT116"/>
    <mergeCell ref="S116:V116"/>
    <mergeCell ref="AQ44:AR44"/>
    <mergeCell ref="C11:F11"/>
    <mergeCell ref="S103:V103"/>
    <mergeCell ref="AM116:AP116"/>
    <mergeCell ref="AM11:AP11"/>
    <mergeCell ref="AM103:AP103"/>
  </mergeCells>
  <conditionalFormatting sqref="F4:F9">
    <cfRule type="expression" priority="1" dxfId="182">
      <formula>F4&lt;F$10</formula>
    </cfRule>
  </conditionalFormatting>
  <conditionalFormatting sqref="F13:F19">
    <cfRule type="expression" priority="17" dxfId="182">
      <formula>F13&lt;F$20</formula>
    </cfRule>
  </conditionalFormatting>
  <conditionalFormatting sqref="F26:F30">
    <cfRule type="expression" priority="33" dxfId="182">
      <formula>F26&lt;F$31</formula>
    </cfRule>
  </conditionalFormatting>
  <conditionalFormatting sqref="F34:F39">
    <cfRule type="expression" priority="49" dxfId="182">
      <formula>F34&lt;F$40</formula>
    </cfRule>
  </conditionalFormatting>
  <conditionalFormatting sqref="F46:F52">
    <cfRule type="expression" priority="65" dxfId="182">
      <formula>F46&lt;F$53</formula>
    </cfRule>
  </conditionalFormatting>
  <conditionalFormatting sqref="F56:F62">
    <cfRule type="expression" priority="81" dxfId="182">
      <formula>F56&lt;F$63</formula>
    </cfRule>
  </conditionalFormatting>
  <conditionalFormatting sqref="F69:F76">
    <cfRule type="expression" priority="97" dxfId="182">
      <formula>F69&lt;F$77</formula>
    </cfRule>
  </conditionalFormatting>
  <conditionalFormatting sqref="F80:F88">
    <cfRule type="expression" priority="113" dxfId="182">
      <formula>F80&lt;F$89</formula>
    </cfRule>
  </conditionalFormatting>
  <conditionalFormatting sqref="F95:F101">
    <cfRule type="expression" priority="129" dxfId="182">
      <formula>F95&lt;F$102</formula>
    </cfRule>
  </conditionalFormatting>
  <conditionalFormatting sqref="F105:F111">
    <cfRule type="expression" priority="145" dxfId="182">
      <formula>F105&lt;F$112</formula>
    </cfRule>
  </conditionalFormatting>
  <conditionalFormatting sqref="F118:F121">
    <cfRule type="expression" priority="161" dxfId="182">
      <formula>F118&lt;F$122</formula>
    </cfRule>
  </conditionalFormatting>
  <conditionalFormatting sqref="F125:F129">
    <cfRule type="expression" priority="177" dxfId="182">
      <formula>F125&lt;F$130</formula>
    </cfRule>
  </conditionalFormatting>
  <conditionalFormatting sqref="J4:J9">
    <cfRule type="expression" priority="2" dxfId="182">
      <formula>J4&lt;J$10</formula>
    </cfRule>
  </conditionalFormatting>
  <conditionalFormatting sqref="J13:J19">
    <cfRule type="expression" priority="18" dxfId="182">
      <formula>J13&lt;J$20</formula>
    </cfRule>
  </conditionalFormatting>
  <conditionalFormatting sqref="J26:J30">
    <cfRule type="expression" priority="34" dxfId="182">
      <formula>J26&lt;J$31</formula>
    </cfRule>
  </conditionalFormatting>
  <conditionalFormatting sqref="J34:J39">
    <cfRule type="expression" priority="50" dxfId="182">
      <formula>J34&lt;J$40</formula>
    </cfRule>
  </conditionalFormatting>
  <conditionalFormatting sqref="J46:J52">
    <cfRule type="expression" priority="66" dxfId="182">
      <formula>J46&lt;J$53</formula>
    </cfRule>
  </conditionalFormatting>
  <conditionalFormatting sqref="J56:J62">
    <cfRule type="expression" priority="82" dxfId="182">
      <formula>J56&lt;J$63</formula>
    </cfRule>
  </conditionalFormatting>
  <conditionalFormatting sqref="J69:J76">
    <cfRule type="expression" priority="98" dxfId="182">
      <formula>J69&lt;J$77</formula>
    </cfRule>
  </conditionalFormatting>
  <conditionalFormatting sqref="J80:J88">
    <cfRule type="expression" priority="114" dxfId="182">
      <formula>J80&lt;J$89</formula>
    </cfRule>
  </conditionalFormatting>
  <conditionalFormatting sqref="J95:J101">
    <cfRule type="expression" priority="130" dxfId="182">
      <formula>J95&lt;J$102</formula>
    </cfRule>
  </conditionalFormatting>
  <conditionalFormatting sqref="J105:J111">
    <cfRule type="expression" priority="146" dxfId="182">
      <formula>J105&lt;J$112</formula>
    </cfRule>
  </conditionalFormatting>
  <conditionalFormatting sqref="J118:J121">
    <cfRule type="expression" priority="162" dxfId="182">
      <formula>J118&lt;J$122</formula>
    </cfRule>
  </conditionalFormatting>
  <conditionalFormatting sqref="J125:J129">
    <cfRule type="expression" priority="178" dxfId="182">
      <formula>J125&lt;J$130</formula>
    </cfRule>
  </conditionalFormatting>
  <conditionalFormatting sqref="N4:N9">
    <cfRule type="expression" priority="3" dxfId="182">
      <formula>N4&lt;N$10</formula>
    </cfRule>
  </conditionalFormatting>
  <conditionalFormatting sqref="N13:N19">
    <cfRule type="expression" priority="19" dxfId="182">
      <formula>N13&lt;N$20</formula>
    </cfRule>
  </conditionalFormatting>
  <conditionalFormatting sqref="N26:N30">
    <cfRule type="expression" priority="35" dxfId="182">
      <formula>N26&lt;N$31</formula>
    </cfRule>
  </conditionalFormatting>
  <conditionalFormatting sqref="N34:N39">
    <cfRule type="expression" priority="51" dxfId="182">
      <formula>N34&lt;N$40</formula>
    </cfRule>
  </conditionalFormatting>
  <conditionalFormatting sqref="N46:N52">
    <cfRule type="expression" priority="67" dxfId="182">
      <formula>N46&lt;N$53</formula>
    </cfRule>
  </conditionalFormatting>
  <conditionalFormatting sqref="N56:N62">
    <cfRule type="expression" priority="83" dxfId="182">
      <formula>N56&lt;N$63</formula>
    </cfRule>
  </conditionalFormatting>
  <conditionalFormatting sqref="N69:N76">
    <cfRule type="expression" priority="99" dxfId="182">
      <formula>N69&lt;N$77</formula>
    </cfRule>
  </conditionalFormatting>
  <conditionalFormatting sqref="N80:N88">
    <cfRule type="expression" priority="115" dxfId="182">
      <formula>N80&lt;N$89</formula>
    </cfRule>
  </conditionalFormatting>
  <conditionalFormatting sqref="N95:N101">
    <cfRule type="expression" priority="131" dxfId="182">
      <formula>N95&lt;N$102</formula>
    </cfRule>
  </conditionalFormatting>
  <conditionalFormatting sqref="N105:N111">
    <cfRule type="expression" priority="147" dxfId="182">
      <formula>N105&lt;N$112</formula>
    </cfRule>
  </conditionalFormatting>
  <conditionalFormatting sqref="N118:N121">
    <cfRule type="expression" priority="163" dxfId="182">
      <formula>N118&lt;N$122</formula>
    </cfRule>
  </conditionalFormatting>
  <conditionalFormatting sqref="N125:N129">
    <cfRule type="expression" priority="179" dxfId="182">
      <formula>N125&lt;N$130</formula>
    </cfRule>
  </conditionalFormatting>
  <conditionalFormatting sqref="R4:R9">
    <cfRule type="expression" priority="4" dxfId="182">
      <formula>R4&lt;R$10</formula>
    </cfRule>
  </conditionalFormatting>
  <conditionalFormatting sqref="R13:R19">
    <cfRule type="expression" priority="20" dxfId="182">
      <formula>R13&lt;R$20</formula>
    </cfRule>
  </conditionalFormatting>
  <conditionalFormatting sqref="R26:R30">
    <cfRule type="expression" priority="36" dxfId="182">
      <formula>R26&lt;R$31</formula>
    </cfRule>
  </conditionalFormatting>
  <conditionalFormatting sqref="R34:R39">
    <cfRule type="expression" priority="52" dxfId="182">
      <formula>R34&lt;R$40</formula>
    </cfRule>
  </conditionalFormatting>
  <conditionalFormatting sqref="R46:R52">
    <cfRule type="expression" priority="68" dxfId="182">
      <formula>R46&lt;R$53</formula>
    </cfRule>
  </conditionalFormatting>
  <conditionalFormatting sqref="R56:R62">
    <cfRule type="expression" priority="84" dxfId="182">
      <formula>R56&lt;R$63</formula>
    </cfRule>
  </conditionalFormatting>
  <conditionalFormatting sqref="R69:R76">
    <cfRule type="expression" priority="100" dxfId="182">
      <formula>R69&lt;R$77</formula>
    </cfRule>
  </conditionalFormatting>
  <conditionalFormatting sqref="R80:R88">
    <cfRule type="expression" priority="116" dxfId="182">
      <formula>R80&lt;R$89</formula>
    </cfRule>
  </conditionalFormatting>
  <conditionalFormatting sqref="R95:R101">
    <cfRule type="expression" priority="132" dxfId="182">
      <formula>R95&lt;R$102</formula>
    </cfRule>
  </conditionalFormatting>
  <conditionalFormatting sqref="R105:R111">
    <cfRule type="expression" priority="148" dxfId="182">
      <formula>R105&lt;R$112</formula>
    </cfRule>
  </conditionalFormatting>
  <conditionalFormatting sqref="R118:R121">
    <cfRule type="expression" priority="164" dxfId="182">
      <formula>R118&lt;R$122</formula>
    </cfRule>
  </conditionalFormatting>
  <conditionalFormatting sqref="R125:R129">
    <cfRule type="expression" priority="180" dxfId="182">
      <formula>R125&lt;R$130</formula>
    </cfRule>
  </conditionalFormatting>
  <conditionalFormatting sqref="V4:V9">
    <cfRule type="expression" priority="5" dxfId="182">
      <formula>V4&lt;V$10</formula>
    </cfRule>
  </conditionalFormatting>
  <conditionalFormatting sqref="V13:V19">
    <cfRule type="expression" priority="21" dxfId="182">
      <formula>V13&lt;V$20</formula>
    </cfRule>
  </conditionalFormatting>
  <conditionalFormatting sqref="V26:V30">
    <cfRule type="expression" priority="37" dxfId="182">
      <formula>V26&lt;V$31</formula>
    </cfRule>
  </conditionalFormatting>
  <conditionalFormatting sqref="V34:V39">
    <cfRule type="expression" priority="53" dxfId="182">
      <formula>V34&lt;V$40</formula>
    </cfRule>
  </conditionalFormatting>
  <conditionalFormatting sqref="V46:V52">
    <cfRule type="expression" priority="69" dxfId="182">
      <formula>V46&lt;V$53</formula>
    </cfRule>
  </conditionalFormatting>
  <conditionalFormatting sqref="V56:V62">
    <cfRule type="expression" priority="85" dxfId="182">
      <formula>V56&lt;V$63</formula>
    </cfRule>
  </conditionalFormatting>
  <conditionalFormatting sqref="V69:V76">
    <cfRule type="expression" priority="101" dxfId="182">
      <formula>V69&lt;V$77</formula>
    </cfRule>
  </conditionalFormatting>
  <conditionalFormatting sqref="V80:V88">
    <cfRule type="expression" priority="117" dxfId="182">
      <formula>V80&lt;V$89</formula>
    </cfRule>
  </conditionalFormatting>
  <conditionalFormatting sqref="V95:V101">
    <cfRule type="expression" priority="133" dxfId="182">
      <formula>V95&lt;V$102</formula>
    </cfRule>
  </conditionalFormatting>
  <conditionalFormatting sqref="V105:V111">
    <cfRule type="expression" priority="149" dxfId="182">
      <formula>V105&lt;V$112</formula>
    </cfRule>
  </conditionalFormatting>
  <conditionalFormatting sqref="V118:V121">
    <cfRule type="expression" priority="165" dxfId="182">
      <formula>V118&lt;V$122</formula>
    </cfRule>
  </conditionalFormatting>
  <conditionalFormatting sqref="V125:V129">
    <cfRule type="expression" priority="181" dxfId="182">
      <formula>V125&lt;V$130</formula>
    </cfRule>
  </conditionalFormatting>
  <conditionalFormatting sqref="Z4:AB9">
    <cfRule type="expression" priority="6" dxfId="182">
      <formula>Z4&lt;Z$10</formula>
    </cfRule>
  </conditionalFormatting>
  <conditionalFormatting sqref="Z13:AB19">
    <cfRule type="expression" priority="22" dxfId="182">
      <formula>Z13&lt;Z$20</formula>
    </cfRule>
  </conditionalFormatting>
  <conditionalFormatting sqref="Z26:AB30">
    <cfRule type="expression" priority="38" dxfId="182">
      <formula>Z26&lt;Z$31</formula>
    </cfRule>
  </conditionalFormatting>
  <conditionalFormatting sqref="Z34:AB39">
    <cfRule type="expression" priority="54" dxfId="182">
      <formula>Z34&lt;Z$40</formula>
    </cfRule>
  </conditionalFormatting>
  <conditionalFormatting sqref="Z46:AB52">
    <cfRule type="expression" priority="70" dxfId="182">
      <formula>Z46&lt;Z$53</formula>
    </cfRule>
  </conditionalFormatting>
  <conditionalFormatting sqref="Z56:AB62">
    <cfRule type="expression" priority="86" dxfId="182">
      <formula>Z56&lt;Z$63</formula>
    </cfRule>
  </conditionalFormatting>
  <conditionalFormatting sqref="Z69:AB76">
    <cfRule type="expression" priority="102" dxfId="182">
      <formula>Z69&lt;Z$77</formula>
    </cfRule>
  </conditionalFormatting>
  <conditionalFormatting sqref="Z80:AB88">
    <cfRule type="expression" priority="118" dxfId="182">
      <formula>Z80&lt;Z$89</formula>
    </cfRule>
  </conditionalFormatting>
  <conditionalFormatting sqref="Z95:AB101">
    <cfRule type="expression" priority="134" dxfId="182">
      <formula>Z95&lt;Z$102</formula>
    </cfRule>
  </conditionalFormatting>
  <conditionalFormatting sqref="Z105:AB111">
    <cfRule type="expression" priority="150" dxfId="182">
      <formula>Z105&lt;Z$112</formula>
    </cfRule>
  </conditionalFormatting>
  <conditionalFormatting sqref="Z118:AB121">
    <cfRule type="expression" priority="166" dxfId="182">
      <formula>Z118&lt;Z$122</formula>
    </cfRule>
  </conditionalFormatting>
  <conditionalFormatting sqref="Z125:AB129">
    <cfRule type="expression" priority="182" dxfId="182">
      <formula>Z125&lt;Z$130</formula>
    </cfRule>
  </conditionalFormatting>
  <conditionalFormatting sqref="AH4:AL9">
    <cfRule type="expression" priority="9" dxfId="182">
      <formula>AH4&lt;AH$10</formula>
    </cfRule>
  </conditionalFormatting>
  <conditionalFormatting sqref="AH13:AL19">
    <cfRule type="expression" priority="25" dxfId="182">
      <formula>AH13&lt;AH$20</formula>
    </cfRule>
  </conditionalFormatting>
  <conditionalFormatting sqref="AH26:AL30">
    <cfRule type="expression" priority="41" dxfId="182">
      <formula>AH26&lt;AH$31</formula>
    </cfRule>
  </conditionalFormatting>
  <conditionalFormatting sqref="AH34:AL39">
    <cfRule type="expression" priority="57" dxfId="182">
      <formula>AH34&lt;AH$40</formula>
    </cfRule>
  </conditionalFormatting>
  <conditionalFormatting sqref="AH46:AL52">
    <cfRule type="expression" priority="73" dxfId="182">
      <formula>AH46&lt;AH$53</formula>
    </cfRule>
  </conditionalFormatting>
  <conditionalFormatting sqref="AH56:AL62">
    <cfRule type="expression" priority="89" dxfId="182">
      <formula>AH56&lt;AH$63</formula>
    </cfRule>
  </conditionalFormatting>
  <conditionalFormatting sqref="AH69:AL76">
    <cfRule type="expression" priority="105" dxfId="182">
      <formula>AH69&lt;AH$77</formula>
    </cfRule>
  </conditionalFormatting>
  <conditionalFormatting sqref="AH80:AL88">
    <cfRule type="expression" priority="121" dxfId="182">
      <formula>AH80&lt;AH$89</formula>
    </cfRule>
  </conditionalFormatting>
  <conditionalFormatting sqref="AH95:AL101">
    <cfRule type="expression" priority="137" dxfId="182">
      <formula>AH95&lt;AH$102</formula>
    </cfRule>
  </conditionalFormatting>
  <conditionalFormatting sqref="AH105:AL111">
    <cfRule type="expression" priority="153" dxfId="182">
      <formula>AH105&lt;AH$112</formula>
    </cfRule>
  </conditionalFormatting>
  <conditionalFormatting sqref="AH118:AL121">
    <cfRule type="expression" priority="169" dxfId="182">
      <formula>AH118&lt;AH$122</formula>
    </cfRule>
  </conditionalFormatting>
  <conditionalFormatting sqref="AH125:AL129">
    <cfRule type="expression" priority="185" dxfId="182">
      <formula>AH125&lt;AH$130</formula>
    </cfRule>
  </conditionalFormatting>
  <conditionalFormatting sqref="AO4:AP9">
    <cfRule type="expression" priority="14" dxfId="182">
      <formula>AO4&lt;AO$10</formula>
    </cfRule>
  </conditionalFormatting>
  <conditionalFormatting sqref="AO13:AP19">
    <cfRule type="expression" priority="30" dxfId="182">
      <formula>AO13&lt;AO$20</formula>
    </cfRule>
  </conditionalFormatting>
  <conditionalFormatting sqref="AO26:AP30">
    <cfRule type="expression" priority="46" dxfId="182">
      <formula>AO26&lt;AO$31</formula>
    </cfRule>
  </conditionalFormatting>
  <conditionalFormatting sqref="AO34:AP39">
    <cfRule type="expression" priority="62" dxfId="182">
      <formula>AO34&lt;AO$40</formula>
    </cfRule>
  </conditionalFormatting>
  <conditionalFormatting sqref="AO46:AP52">
    <cfRule type="expression" priority="78" dxfId="182">
      <formula>AO46&lt;AO$53</formula>
    </cfRule>
  </conditionalFormatting>
  <conditionalFormatting sqref="AO56:AP62">
    <cfRule type="expression" priority="94" dxfId="182">
      <formula>AO56&lt;AO$63</formula>
    </cfRule>
  </conditionalFormatting>
  <conditionalFormatting sqref="AO69:AP76">
    <cfRule type="expression" priority="110" dxfId="182">
      <formula>AO69&lt;AO$77</formula>
    </cfRule>
  </conditionalFormatting>
  <conditionalFormatting sqref="AO80:AP88">
    <cfRule type="expression" priority="126" dxfId="182">
      <formula>AO80&lt;AO$89</formula>
    </cfRule>
  </conditionalFormatting>
  <conditionalFormatting sqref="AO95:AP101">
    <cfRule type="expression" priority="142" dxfId="182">
      <formula>AO95&lt;AO$102</formula>
    </cfRule>
  </conditionalFormatting>
  <conditionalFormatting sqref="AO105:AP111">
    <cfRule type="expression" priority="158" dxfId="182">
      <formula>AO105&lt;AO$112</formula>
    </cfRule>
  </conditionalFormatting>
  <conditionalFormatting sqref="AO118:AP121">
    <cfRule type="expression" priority="174" dxfId="182">
      <formula>AO118&lt;AO$122</formula>
    </cfRule>
  </conditionalFormatting>
  <conditionalFormatting sqref="AO125:AP129">
    <cfRule type="expression" priority="190" dxfId="182">
      <formula>AO125&lt;AO$130</formula>
    </cfRule>
  </conditionalFormatting>
  <conditionalFormatting sqref="AR4:AR9">
    <cfRule type="expression" priority="16" dxfId="182">
      <formula>AR4&lt;AR$10</formula>
    </cfRule>
  </conditionalFormatting>
  <conditionalFormatting sqref="AR13:AR19">
    <cfRule type="expression" priority="32" dxfId="182">
      <formula>AR13&lt;AR$20</formula>
    </cfRule>
  </conditionalFormatting>
  <conditionalFormatting sqref="AR26:AR30">
    <cfRule type="expression" priority="48" dxfId="182">
      <formula>AR26&lt;AR$31</formula>
    </cfRule>
  </conditionalFormatting>
  <conditionalFormatting sqref="AR34:AR39">
    <cfRule type="expression" priority="64" dxfId="182">
      <formula>AR34&lt;AR$40</formula>
    </cfRule>
  </conditionalFormatting>
  <conditionalFormatting sqref="AR46:AR52">
    <cfRule type="expression" priority="80" dxfId="182">
      <formula>AR46&lt;AR$53</formula>
    </cfRule>
  </conditionalFormatting>
  <conditionalFormatting sqref="AR56:AR62">
    <cfRule type="expression" priority="96" dxfId="182">
      <formula>AR56&lt;AR$63</formula>
    </cfRule>
  </conditionalFormatting>
  <conditionalFormatting sqref="AR69:AR76">
    <cfRule type="expression" priority="112" dxfId="182">
      <formula>AR69&lt;AR$77</formula>
    </cfRule>
  </conditionalFormatting>
  <conditionalFormatting sqref="AR80:AR88">
    <cfRule type="expression" priority="128" dxfId="182">
      <formula>AR80&lt;AR$89</formula>
    </cfRule>
  </conditionalFormatting>
  <conditionalFormatting sqref="AR95:AR101">
    <cfRule type="expression" priority="144" dxfId="182">
      <formula>AR95&lt;AR$102</formula>
    </cfRule>
  </conditionalFormatting>
  <conditionalFormatting sqref="AR105:AR111">
    <cfRule type="expression" priority="160" dxfId="182">
      <formula>AR105&lt;AR$112</formula>
    </cfRule>
  </conditionalFormatting>
  <conditionalFormatting sqref="AR118:AR121">
    <cfRule type="expression" priority="176" dxfId="182">
      <formula>AR118&lt;AR$122</formula>
    </cfRule>
  </conditionalFormatting>
  <conditionalFormatting sqref="AR125:AR129">
    <cfRule type="expression" priority="192" dxfId="182">
      <formula>AR125&lt;AR$130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75B6"/>
    <outlinePr summaryBelow="1" summaryRight="1"/>
    <pageSetUpPr/>
  </sheetPr>
  <dimension ref="A1:AQ5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AA1"/>
    </sheetView>
  </sheetViews>
  <sheetFormatPr baseColWidth="10" defaultColWidth="9" defaultRowHeight="14"/>
  <cols>
    <col width="19" customWidth="1" style="83" min="1" max="1"/>
    <col width="13" customWidth="1" style="83" min="2" max="27"/>
    <col width="13" customWidth="1" style="83" min="3" max="3"/>
    <col width="13" customWidth="1" style="83" min="4" max="4"/>
    <col width="13" customWidth="1" style="83" min="5" max="5"/>
    <col width="13" customWidth="1" style="83" min="6" max="6"/>
    <col width="13" customWidth="1" style="83" min="7" max="7"/>
    <col width="13" customWidth="1" style="83" min="8" max="8"/>
    <col width="13" customWidth="1" style="83" min="9" max="9"/>
    <col width="13" customWidth="1" style="83" min="10" max="10"/>
    <col width="13" customWidth="1" style="83" min="11" max="11"/>
    <col width="13" customWidth="1" style="83" min="12" max="12"/>
    <col width="13" customWidth="1" style="83" min="13" max="13"/>
    <col width="13" customWidth="1" style="83" min="14" max="14"/>
    <col width="13" customWidth="1" style="83" min="15" max="15"/>
    <col width="13" customWidth="1" style="83" min="16" max="16"/>
    <col width="13" customWidth="1" style="83" min="17" max="17"/>
    <col width="13" customWidth="1" style="83" min="18" max="18"/>
    <col width="13" customWidth="1" style="83" min="19" max="19"/>
    <col width="13" customWidth="1" style="83" min="20" max="20"/>
    <col width="13" customWidth="1" style="83" min="21" max="21"/>
    <col width="13" customWidth="1" style="83" min="22" max="22"/>
    <col width="13" customWidth="1" style="83" min="23" max="23"/>
    <col width="13" customWidth="1" style="83" min="24" max="24"/>
    <col width="13" customWidth="1" style="83" min="25" max="25"/>
    <col width="13" customWidth="1" style="83" min="26" max="26"/>
    <col width="13" customWidth="1" style="83" min="27" max="27"/>
    <col width="13" customWidth="1" style="83" min="28" max="28"/>
    <col width="13" customWidth="1" style="83" min="29" max="29"/>
    <col width="13" customWidth="1" style="83" min="30" max="30"/>
    <col width="13" customWidth="1" style="83" min="31" max="31"/>
    <col width="13" customWidth="1" style="83" min="32" max="32"/>
    <col width="13" customWidth="1" style="83" min="33" max="33"/>
    <col width="13" customWidth="1" style="83" min="34" max="34"/>
    <col width="13" customWidth="1" style="83" min="35" max="35"/>
    <col width="13" customWidth="1" style="83" min="36" max="36"/>
    <col width="13" customWidth="1" style="83" min="37" max="37"/>
    <col width="13" customWidth="1" style="83" min="38" max="38"/>
    <col width="13" customWidth="1" style="83" min="39" max="39"/>
    <col width="13" customWidth="1" style="83" min="40" max="40"/>
    <col width="13" customWidth="1" style="83" min="41" max="41"/>
    <col width="13" customWidth="1" style="83" min="42" max="42"/>
    <col width="13" customWidth="1" style="83" min="43" max="43"/>
  </cols>
  <sheetData>
    <row r="1" ht="28" customHeight="1" s="83">
      <c r="A1" s="104" t="inlineStr">
        <is>
          <t>本週其他細項  ·  本週 04/12~04/18  |  對照 上週 04/05~04/11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4" t="n"/>
    </row>
    <row r="2" ht="36" customHeight="1" s="83">
      <c r="A2" s="106" t="inlineStr">
        <is>
          <t>SAcare檢測新機</t>
        </is>
      </c>
      <c r="B2" s="86" t="inlineStr">
        <is>
          <t>Mac</t>
        </is>
      </c>
      <c r="C2" s="86" t="inlineStr">
        <is>
          <t>iPhone</t>
        </is>
      </c>
      <c r="D2" s="86" t="inlineStr">
        <is>
          <t>iPad</t>
        </is>
      </c>
      <c r="E2" s="86" t="inlineStr">
        <is>
          <t>Watch</t>
        </is>
      </c>
      <c r="F2" s="86" t="inlineStr">
        <is>
          <t>AirPods</t>
        </is>
      </c>
      <c r="G2" s="86" t="inlineStr">
        <is>
          <t>門市加總</t>
        </is>
      </c>
      <c r="H2" s="90" t="n"/>
      <c r="I2" s="105" t="inlineStr">
        <is>
          <t>活動使用</t>
        </is>
      </c>
      <c r="J2" s="86" t="inlineStr">
        <is>
          <t>抵用券贈出</t>
        </is>
      </c>
      <c r="K2" s="86" t="inlineStr">
        <is>
          <t>抵用券兌換</t>
        </is>
      </c>
      <c r="L2" s="86" t="inlineStr">
        <is>
          <t>兌換率</t>
        </is>
      </c>
      <c r="M2" s="86" t="inlineStr">
        <is>
          <t>環保回收</t>
        </is>
      </c>
      <c r="N2" s="86" t="inlineStr">
        <is>
          <t>線材回收</t>
        </is>
      </c>
      <c r="O2" s="90" t="n"/>
      <c r="P2" s="105" t="inlineStr">
        <is>
          <t>Mysetup提交</t>
        </is>
      </c>
      <c r="Q2" s="86" t="inlineStr">
        <is>
          <t>主機總數</t>
        </is>
      </c>
      <c r="R2" s="86" t="inlineStr">
        <is>
          <t>Mysetup(手填)</t>
        </is>
      </c>
      <c r="S2" s="86" t="inlineStr">
        <is>
          <t>提交率(手填)</t>
        </is>
      </c>
      <c r="T2" s="90" t="n"/>
      <c r="U2" s="90" t="n"/>
      <c r="V2" s="90" t="n"/>
      <c r="W2" s="90" t="n"/>
      <c r="X2" s="90" t="n"/>
      <c r="Y2" s="90" t="n"/>
      <c r="Z2" s="90" t="n"/>
      <c r="AA2" s="90" t="n"/>
    </row>
    <row r="3" ht="17" customHeight="1" s="83">
      <c r="A3" s="41" t="inlineStr">
        <is>
          <t>士林門市</t>
        </is>
      </c>
      <c r="B3" s="128" t="n">
        <v>0</v>
      </c>
      <c r="C3" s="128" t="n">
        <v>0</v>
      </c>
      <c r="D3" s="128" t="n">
        <v>0</v>
      </c>
      <c r="E3" s="128" t="n">
        <v>0</v>
      </c>
      <c r="F3" s="128" t="n">
        <v>0</v>
      </c>
      <c r="G3" s="128" t="n">
        <v>0</v>
      </c>
      <c r="H3" s="90" t="n"/>
      <c r="I3" s="62" t="inlineStr">
        <is>
          <t>士林門市</t>
        </is>
      </c>
      <c r="J3" s="128" t="n">
        <v>0</v>
      </c>
      <c r="K3" s="128" t="n">
        <v>0</v>
      </c>
      <c r="L3" s="63" t="n">
        <v>0</v>
      </c>
      <c r="M3" s="128" t="n">
        <v>0</v>
      </c>
      <c r="N3" s="128" t="n">
        <v>0</v>
      </c>
      <c r="O3" s="90" t="n"/>
      <c r="P3" s="62" t="inlineStr">
        <is>
          <t>士林門市</t>
        </is>
      </c>
      <c r="Q3" s="128" t="n">
        <v>0</v>
      </c>
      <c r="R3" s="90" t="n"/>
      <c r="S3" s="90" t="n"/>
      <c r="T3" s="90" t="n"/>
      <c r="U3" s="90" t="n"/>
      <c r="V3" s="90" t="n"/>
      <c r="W3" s="90" t="n"/>
      <c r="X3" s="90" t="n"/>
      <c r="Y3" s="90" t="n"/>
      <c r="Z3" s="90" t="n"/>
      <c r="AA3" s="90" t="n"/>
    </row>
    <row r="4" ht="17" customHeight="1" s="83">
      <c r="A4" s="41" t="inlineStr">
        <is>
          <t>微風門市</t>
        </is>
      </c>
      <c r="B4" s="130" t="n">
        <v>0</v>
      </c>
      <c r="C4" s="130" t="n">
        <v>0</v>
      </c>
      <c r="D4" s="130" t="n">
        <v>0</v>
      </c>
      <c r="E4" s="130" t="n">
        <v>0</v>
      </c>
      <c r="F4" s="130" t="n">
        <v>0</v>
      </c>
      <c r="G4" s="130" t="n">
        <v>0</v>
      </c>
      <c r="H4" s="64" t="n"/>
      <c r="I4" s="62" t="inlineStr">
        <is>
          <t>微風門市</t>
        </is>
      </c>
      <c r="J4" s="130" t="n">
        <v>0</v>
      </c>
      <c r="K4" s="130" t="n">
        <v>0</v>
      </c>
      <c r="L4" s="65" t="n">
        <v>0</v>
      </c>
      <c r="M4" s="130" t="n">
        <v>0</v>
      </c>
      <c r="N4" s="130" t="n">
        <v>0</v>
      </c>
      <c r="O4" s="64" t="n"/>
      <c r="P4" s="62" t="inlineStr">
        <is>
          <t>微風門市</t>
        </is>
      </c>
      <c r="Q4" s="130" t="n">
        <v>0</v>
      </c>
      <c r="R4" s="64" t="n"/>
      <c r="S4" s="64" t="n"/>
      <c r="T4" s="90" t="n"/>
      <c r="U4" s="90" t="n"/>
      <c r="V4" s="90" t="n"/>
      <c r="W4" s="90" t="n"/>
      <c r="X4" s="90" t="n"/>
      <c r="Y4" s="90" t="n"/>
      <c r="Z4" s="90" t="n"/>
      <c r="AA4" s="90" t="n"/>
    </row>
    <row r="5" ht="17" customHeight="1" s="83">
      <c r="A5" s="41" t="inlineStr">
        <is>
          <t>美麗華門市</t>
        </is>
      </c>
      <c r="B5" s="128" t="n">
        <v>0</v>
      </c>
      <c r="C5" s="128" t="n">
        <v>0</v>
      </c>
      <c r="D5" s="128" t="n">
        <v>0</v>
      </c>
      <c r="E5" s="128" t="n">
        <v>0</v>
      </c>
      <c r="F5" s="128" t="n">
        <v>0</v>
      </c>
      <c r="G5" s="128" t="n">
        <v>0</v>
      </c>
      <c r="H5" s="90" t="n"/>
      <c r="I5" s="62" t="inlineStr">
        <is>
          <t>美麗華門市</t>
        </is>
      </c>
      <c r="J5" s="128" t="n">
        <v>0</v>
      </c>
      <c r="K5" s="128" t="n">
        <v>0</v>
      </c>
      <c r="L5" s="63" t="n">
        <v>0</v>
      </c>
      <c r="M5" s="128" t="n">
        <v>0</v>
      </c>
      <c r="N5" s="128" t="n">
        <v>0</v>
      </c>
      <c r="O5" s="90" t="n"/>
      <c r="P5" s="62" t="inlineStr">
        <is>
          <t>美麗華門市</t>
        </is>
      </c>
      <c r="Q5" s="128" t="n">
        <v>0</v>
      </c>
      <c r="R5" s="90" t="n"/>
      <c r="S5" s="90" t="n"/>
      <c r="T5" s="90" t="n"/>
      <c r="U5" s="90" t="n"/>
      <c r="V5" s="90" t="n"/>
      <c r="W5" s="90" t="n"/>
      <c r="X5" s="90" t="n"/>
      <c r="Y5" s="90" t="n"/>
      <c r="Z5" s="90" t="n"/>
      <c r="AA5" s="90" t="n"/>
    </row>
    <row r="6" ht="17" customHeight="1" s="83">
      <c r="A6" s="41" t="inlineStr">
        <is>
          <t>阿波羅門市</t>
        </is>
      </c>
      <c r="B6" s="130" t="n">
        <v>0</v>
      </c>
      <c r="C6" s="130" t="n">
        <v>0</v>
      </c>
      <c r="D6" s="130" t="n">
        <v>0</v>
      </c>
      <c r="E6" s="130" t="n">
        <v>0</v>
      </c>
      <c r="F6" s="130" t="n">
        <v>0</v>
      </c>
      <c r="G6" s="130" t="n">
        <v>0</v>
      </c>
      <c r="H6" s="64" t="n"/>
      <c r="I6" s="62" t="inlineStr">
        <is>
          <t>阿波羅門市</t>
        </is>
      </c>
      <c r="J6" s="130" t="n">
        <v>0</v>
      </c>
      <c r="K6" s="130" t="n">
        <v>0</v>
      </c>
      <c r="L6" s="65" t="n">
        <v>0</v>
      </c>
      <c r="M6" s="130" t="n">
        <v>0</v>
      </c>
      <c r="N6" s="130" t="n">
        <v>0</v>
      </c>
      <c r="O6" s="64" t="n"/>
      <c r="P6" s="62" t="inlineStr">
        <is>
          <t>阿波羅門市</t>
        </is>
      </c>
      <c r="Q6" s="130" t="n">
        <v>0</v>
      </c>
      <c r="R6" s="64" t="n"/>
      <c r="S6" s="64" t="n"/>
      <c r="T6" s="90" t="n"/>
      <c r="U6" s="90" t="n"/>
      <c r="V6" s="90" t="n"/>
      <c r="W6" s="90" t="n"/>
      <c r="X6" s="90" t="n"/>
      <c r="Y6" s="90" t="n"/>
      <c r="Z6" s="90" t="n"/>
      <c r="AA6" s="90" t="n"/>
    </row>
    <row r="7" ht="17" customHeight="1" s="83">
      <c r="A7" s="41" t="inlineStr">
        <is>
          <t>大葉高島屋門市</t>
        </is>
      </c>
      <c r="B7" s="128" t="n">
        <v>0</v>
      </c>
      <c r="C7" s="128" t="n">
        <v>0</v>
      </c>
      <c r="D7" s="128" t="n">
        <v>0</v>
      </c>
      <c r="E7" s="128" t="n">
        <v>0</v>
      </c>
      <c r="F7" s="128" t="n">
        <v>0</v>
      </c>
      <c r="G7" s="128" t="n">
        <v>0</v>
      </c>
      <c r="H7" s="90" t="n"/>
      <c r="I7" s="62" t="inlineStr">
        <is>
          <t>大葉高島屋門市</t>
        </is>
      </c>
      <c r="J7" s="128" t="n">
        <v>0</v>
      </c>
      <c r="K7" s="128" t="n">
        <v>0</v>
      </c>
      <c r="L7" s="63" t="n">
        <v>0</v>
      </c>
      <c r="M7" s="128" t="n">
        <v>0</v>
      </c>
      <c r="N7" s="128" t="n">
        <v>0</v>
      </c>
      <c r="O7" s="90" t="n"/>
      <c r="P7" s="62" t="inlineStr">
        <is>
          <t>大葉高島屋門市</t>
        </is>
      </c>
      <c r="Q7" s="128" t="n">
        <v>0</v>
      </c>
      <c r="R7" s="90" t="n"/>
      <c r="S7" s="90" t="n"/>
      <c r="T7" s="90" t="n"/>
      <c r="U7" s="90" t="n"/>
      <c r="V7" s="90" t="n"/>
      <c r="W7" s="90" t="n"/>
      <c r="X7" s="90" t="n"/>
      <c r="Y7" s="90" t="n"/>
      <c r="Z7" s="90" t="n"/>
      <c r="AA7" s="90" t="n"/>
    </row>
    <row r="8" ht="17" customHeight="1" s="83">
      <c r="A8" s="41" t="inlineStr">
        <is>
          <t>羅東門市</t>
        </is>
      </c>
      <c r="B8" s="130" t="n">
        <v>0</v>
      </c>
      <c r="C8" s="130" t="n">
        <v>0</v>
      </c>
      <c r="D8" s="130" t="n">
        <v>0</v>
      </c>
      <c r="E8" s="130" t="n">
        <v>0</v>
      </c>
      <c r="F8" s="130" t="n">
        <v>0</v>
      </c>
      <c r="G8" s="130" t="n">
        <v>0</v>
      </c>
      <c r="H8" s="64" t="n"/>
      <c r="I8" s="62" t="inlineStr">
        <is>
          <t>羅東門市</t>
        </is>
      </c>
      <c r="J8" s="130" t="n">
        <v>0</v>
      </c>
      <c r="K8" s="130" t="n">
        <v>0</v>
      </c>
      <c r="L8" s="65" t="n">
        <v>0</v>
      </c>
      <c r="M8" s="130" t="n">
        <v>0</v>
      </c>
      <c r="N8" s="130" t="n">
        <v>0</v>
      </c>
      <c r="O8" s="64" t="n"/>
      <c r="P8" s="62" t="inlineStr">
        <is>
          <t>羅東門市</t>
        </is>
      </c>
      <c r="Q8" s="130" t="n">
        <v>0</v>
      </c>
      <c r="R8" s="64" t="n"/>
      <c r="S8" s="64" t="n"/>
      <c r="T8" s="90" t="n"/>
      <c r="U8" s="90" t="n"/>
      <c r="V8" s="90" t="n"/>
      <c r="W8" s="90" t="n"/>
      <c r="X8" s="90" t="n"/>
      <c r="Y8" s="90" t="n"/>
      <c r="Z8" s="90" t="n"/>
      <c r="AA8" s="90" t="n"/>
    </row>
    <row r="9" ht="17" customHeight="1" s="83">
      <c r="A9" s="66" t="inlineStr">
        <is>
          <t>Total</t>
        </is>
      </c>
      <c r="B9" s="134" t="n">
        <v>0</v>
      </c>
      <c r="C9" s="134" t="n">
        <v>0</v>
      </c>
      <c r="D9" s="134" t="n">
        <v>0</v>
      </c>
      <c r="E9" s="134" t="n">
        <v>0</v>
      </c>
      <c r="F9" s="134" t="n">
        <v>0</v>
      </c>
      <c r="G9" s="134" t="n">
        <v>0</v>
      </c>
      <c r="H9" s="66" t="n"/>
      <c r="I9" s="66" t="inlineStr">
        <is>
          <t>Total</t>
        </is>
      </c>
      <c r="J9" s="134" t="n">
        <v>0</v>
      </c>
      <c r="K9" s="134" t="n">
        <v>0</v>
      </c>
      <c r="L9" s="68" t="n">
        <v>0</v>
      </c>
      <c r="M9" s="134" t="n">
        <v>0</v>
      </c>
      <c r="N9" s="134" t="n">
        <v>0</v>
      </c>
      <c r="O9" s="66" t="n"/>
      <c r="P9" s="66" t="inlineStr">
        <is>
          <t>Total</t>
        </is>
      </c>
      <c r="Q9" s="134" t="n">
        <v>0</v>
      </c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</row>
    <row r="10">
      <c r="A10" s="107" t="n"/>
      <c r="B10" s="90" t="n"/>
      <c r="C10" s="90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0" t="n"/>
      <c r="S10" s="90" t="n"/>
      <c r="T10" s="90" t="n"/>
      <c r="U10" s="90" t="n"/>
      <c r="V10" s="90" t="n"/>
      <c r="W10" s="90" t="n"/>
      <c r="X10" s="90" t="n"/>
      <c r="Y10" s="90" t="n"/>
      <c r="Z10" s="90" t="n"/>
      <c r="AA10" s="90" t="n"/>
    </row>
    <row r="11" ht="20" customHeight="1" s="83">
      <c r="A11" s="106" t="inlineStr">
        <is>
          <t>喇叭銷售金額</t>
        </is>
      </c>
      <c r="B11" s="105" t="inlineStr">
        <is>
          <t>喇叭金額（含 Momax）</t>
        </is>
      </c>
      <c r="C11" s="113" t="n"/>
      <c r="D11" s="113" t="n"/>
      <c r="E11" s="114" t="n"/>
      <c r="F11" s="105" t="inlineStr">
        <is>
          <t>喇叭金額（不含 Momax）</t>
        </is>
      </c>
      <c r="G11" s="113" t="n"/>
      <c r="H11" s="113" t="n"/>
      <c r="I11" s="114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0" t="n"/>
      <c r="S11" s="90" t="n"/>
      <c r="T11" s="90" t="n"/>
      <c r="U11" s="90" t="n"/>
      <c r="V11" s="90" t="n"/>
      <c r="W11" s="90" t="n"/>
      <c r="X11" s="90" t="n"/>
      <c r="Y11" s="90" t="n"/>
      <c r="Z11" s="90" t="n"/>
      <c r="AA11" s="90" t="n"/>
    </row>
    <row r="12" ht="17" customHeight="1" s="83">
      <c r="A12" s="127" t="n"/>
      <c r="B12" s="86" t="inlineStr">
        <is>
          <t>上週</t>
        </is>
      </c>
      <c r="C12" s="86" t="inlineStr">
        <is>
          <t>本週</t>
        </is>
      </c>
      <c r="D12" s="86" t="inlineStr">
        <is>
          <t>較上週%</t>
        </is>
      </c>
      <c r="E12" s="86" t="inlineStr">
        <is>
          <t>差異金額</t>
        </is>
      </c>
      <c r="F12" s="86" t="inlineStr">
        <is>
          <t>上週</t>
        </is>
      </c>
      <c r="G12" s="86" t="inlineStr">
        <is>
          <t>本週</t>
        </is>
      </c>
      <c r="H12" s="86" t="inlineStr">
        <is>
          <t>較上週%</t>
        </is>
      </c>
      <c r="I12" s="86" t="inlineStr">
        <is>
          <t>差異金額</t>
        </is>
      </c>
      <c r="J12" s="90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  <c r="U12" s="90" t="n"/>
      <c r="V12" s="90" t="n"/>
      <c r="W12" s="90" t="n"/>
      <c r="X12" s="90" t="n"/>
      <c r="Y12" s="90" t="n"/>
      <c r="Z12" s="90" t="n"/>
      <c r="AA12" s="90" t="n"/>
    </row>
    <row r="13" ht="17" customHeight="1" s="83">
      <c r="A13" s="41" t="inlineStr">
        <is>
          <t>士林門市</t>
        </is>
      </c>
      <c r="B13" s="128" t="n">
        <v>0</v>
      </c>
      <c r="C13" s="128" t="n">
        <v>0</v>
      </c>
      <c r="D13" s="69" t="n">
        <v>0</v>
      </c>
      <c r="E13" s="128" t="n">
        <v>0</v>
      </c>
      <c r="F13" s="128" t="n">
        <v>0</v>
      </c>
      <c r="G13" s="128" t="n">
        <v>0</v>
      </c>
      <c r="H13" s="69" t="n">
        <v>0</v>
      </c>
      <c r="I13" s="128" t="n">
        <v>0</v>
      </c>
      <c r="J13" s="90" t="n"/>
      <c r="K13" s="90" t="n"/>
      <c r="L13" s="90" t="n"/>
      <c r="M13" s="90" t="n"/>
      <c r="N13" s="90" t="n"/>
      <c r="O13" s="90" t="n"/>
      <c r="P13" s="90" t="n"/>
      <c r="Q13" s="90" t="n"/>
      <c r="R13" s="90" t="n"/>
      <c r="S13" s="90" t="n"/>
      <c r="T13" s="90" t="n"/>
      <c r="U13" s="90" t="n"/>
      <c r="V13" s="90" t="n"/>
      <c r="W13" s="90" t="n"/>
      <c r="X13" s="90" t="n"/>
      <c r="Y13" s="90" t="n"/>
      <c r="Z13" s="90" t="n"/>
      <c r="AA13" s="90" t="n"/>
    </row>
    <row r="14" ht="17" customHeight="1" s="83">
      <c r="A14" s="41" t="inlineStr">
        <is>
          <t>微風門市</t>
        </is>
      </c>
      <c r="B14" s="130" t="n">
        <v>0</v>
      </c>
      <c r="C14" s="130" t="n">
        <v>0</v>
      </c>
      <c r="D14" s="69" t="n">
        <v>0</v>
      </c>
      <c r="E14" s="130" t="n">
        <v>0</v>
      </c>
      <c r="F14" s="130" t="n">
        <v>0</v>
      </c>
      <c r="G14" s="130" t="n">
        <v>0</v>
      </c>
      <c r="H14" s="69" t="n">
        <v>0</v>
      </c>
      <c r="I14" s="130" t="n">
        <v>0</v>
      </c>
      <c r="J14" s="90" t="n"/>
      <c r="K14" s="90" t="n"/>
      <c r="L14" s="90" t="n"/>
      <c r="M14" s="90" t="n"/>
      <c r="N14" s="90" t="n"/>
      <c r="O14" s="90" t="n"/>
      <c r="P14" s="90" t="n"/>
      <c r="Q14" s="90" t="n"/>
      <c r="R14" s="90" t="n"/>
      <c r="S14" s="90" t="n"/>
      <c r="T14" s="90" t="n"/>
      <c r="U14" s="90" t="n"/>
      <c r="V14" s="90" t="n"/>
      <c r="W14" s="90" t="n"/>
      <c r="X14" s="90" t="n"/>
      <c r="Y14" s="90" t="n"/>
      <c r="Z14" s="90" t="n"/>
      <c r="AA14" s="90" t="n"/>
    </row>
    <row r="15" ht="17" customHeight="1" s="83">
      <c r="A15" s="41" t="inlineStr">
        <is>
          <t>美麗華門市</t>
        </is>
      </c>
      <c r="B15" s="128" t="n">
        <v>0</v>
      </c>
      <c r="C15" s="128" t="n">
        <v>0</v>
      </c>
      <c r="D15" s="69" t="n">
        <v>0</v>
      </c>
      <c r="E15" s="128" t="n">
        <v>0</v>
      </c>
      <c r="F15" s="128" t="n">
        <v>0</v>
      </c>
      <c r="G15" s="128" t="n">
        <v>0</v>
      </c>
      <c r="H15" s="69" t="n">
        <v>0</v>
      </c>
      <c r="I15" s="128" t="n">
        <v>0</v>
      </c>
      <c r="J15" s="90" t="n"/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  <c r="V15" s="90" t="n"/>
      <c r="W15" s="90" t="n"/>
      <c r="X15" s="90" t="n"/>
      <c r="Y15" s="90" t="n"/>
      <c r="Z15" s="90" t="n"/>
      <c r="AA15" s="90" t="n"/>
    </row>
    <row r="16" ht="17" customHeight="1" s="83">
      <c r="A16" s="41" t="inlineStr">
        <is>
          <t>阿波羅門市</t>
        </is>
      </c>
      <c r="B16" s="130" t="n">
        <v>0</v>
      </c>
      <c r="C16" s="130" t="n">
        <v>0</v>
      </c>
      <c r="D16" s="69" t="n">
        <v>0</v>
      </c>
      <c r="E16" s="130" t="n">
        <v>0</v>
      </c>
      <c r="F16" s="130" t="n">
        <v>0</v>
      </c>
      <c r="G16" s="130" t="n">
        <v>0</v>
      </c>
      <c r="H16" s="69" t="n">
        <v>0</v>
      </c>
      <c r="I16" s="130" t="n">
        <v>0</v>
      </c>
      <c r="J16" s="90" t="n"/>
      <c r="K16" s="90" t="n"/>
      <c r="L16" s="90" t="n"/>
      <c r="M16" s="90" t="n"/>
      <c r="N16" s="90" t="n"/>
      <c r="O16" s="90" t="n"/>
      <c r="P16" s="90" t="n"/>
      <c r="Q16" s="90" t="n"/>
      <c r="R16" s="90" t="n"/>
      <c r="S16" s="90" t="n"/>
      <c r="T16" s="90" t="n"/>
      <c r="U16" s="90" t="n"/>
      <c r="V16" s="90" t="n"/>
      <c r="W16" s="90" t="n"/>
      <c r="X16" s="90" t="n"/>
      <c r="Y16" s="90" t="n"/>
      <c r="Z16" s="90" t="n"/>
      <c r="AA16" s="90" t="n"/>
    </row>
    <row r="17" ht="17" customHeight="1" s="83">
      <c r="A17" s="41" t="inlineStr">
        <is>
          <t>大葉高島屋門市</t>
        </is>
      </c>
      <c r="B17" s="128" t="n">
        <v>0</v>
      </c>
      <c r="C17" s="128" t="n">
        <v>0</v>
      </c>
      <c r="D17" s="69" t="n">
        <v>0</v>
      </c>
      <c r="E17" s="128" t="n">
        <v>0</v>
      </c>
      <c r="F17" s="128" t="n">
        <v>0</v>
      </c>
      <c r="G17" s="128" t="n">
        <v>0</v>
      </c>
      <c r="H17" s="69" t="n">
        <v>0</v>
      </c>
      <c r="I17" s="128" t="n">
        <v>0</v>
      </c>
      <c r="J17" s="90" t="n"/>
      <c r="K17" s="90" t="n"/>
      <c r="L17" s="90" t="n"/>
      <c r="M17" s="90" t="n"/>
      <c r="N17" s="90" t="n"/>
      <c r="O17" s="90" t="n"/>
      <c r="P17" s="90" t="n"/>
      <c r="Q17" s="90" t="n"/>
      <c r="R17" s="90" t="n"/>
      <c r="S17" s="90" t="n"/>
      <c r="T17" s="90" t="n"/>
      <c r="U17" s="90" t="n"/>
      <c r="V17" s="90" t="n"/>
      <c r="W17" s="90" t="n"/>
      <c r="X17" s="90" t="n"/>
      <c r="Y17" s="90" t="n"/>
      <c r="Z17" s="90" t="n"/>
      <c r="AA17" s="90" t="n"/>
    </row>
    <row r="18" ht="17" customHeight="1" s="83">
      <c r="A18" s="41" t="inlineStr">
        <is>
          <t>羅東門市</t>
        </is>
      </c>
      <c r="B18" s="130" t="n">
        <v>0</v>
      </c>
      <c r="C18" s="130" t="n">
        <v>0</v>
      </c>
      <c r="D18" s="69" t="n">
        <v>0</v>
      </c>
      <c r="E18" s="130" t="n">
        <v>0</v>
      </c>
      <c r="F18" s="130" t="n">
        <v>0</v>
      </c>
      <c r="G18" s="130" t="n">
        <v>0</v>
      </c>
      <c r="H18" s="69" t="n">
        <v>0</v>
      </c>
      <c r="I18" s="130" t="n">
        <v>0</v>
      </c>
      <c r="J18" s="90" t="n"/>
      <c r="K18" s="90" t="n"/>
      <c r="L18" s="90" t="n"/>
      <c r="M18" s="90" t="n"/>
      <c r="N18" s="90" t="n"/>
      <c r="O18" s="90" t="n"/>
      <c r="P18" s="90" t="n"/>
      <c r="Q18" s="90" t="n"/>
      <c r="R18" s="90" t="n"/>
      <c r="S18" s="90" t="n"/>
      <c r="T18" s="90" t="n"/>
      <c r="U18" s="90" t="n"/>
      <c r="V18" s="90" t="n"/>
      <c r="W18" s="90" t="n"/>
      <c r="X18" s="90" t="n"/>
      <c r="Y18" s="90" t="n"/>
      <c r="Z18" s="90" t="n"/>
      <c r="AA18" s="90" t="n"/>
    </row>
    <row r="19" ht="17" customHeight="1" s="83">
      <c r="A19" s="66" t="inlineStr">
        <is>
          <t>Total</t>
        </is>
      </c>
      <c r="B19" s="134" t="n">
        <v>0</v>
      </c>
      <c r="C19" s="134" t="n">
        <v>0</v>
      </c>
      <c r="D19" s="68" t="n">
        <v>0</v>
      </c>
      <c r="E19" s="134" t="n">
        <v>0</v>
      </c>
      <c r="F19" s="134" t="n">
        <v>0</v>
      </c>
      <c r="G19" s="134" t="n">
        <v>0</v>
      </c>
      <c r="H19" s="68" t="n">
        <v>0</v>
      </c>
      <c r="I19" s="134" t="n">
        <v>0</v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</row>
    <row r="20">
      <c r="A20" s="107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</row>
    <row r="21" ht="20" customHeight="1" s="83">
      <c r="A21" s="106" t="inlineStr">
        <is>
          <t>iPhone 配件件數</t>
        </is>
      </c>
      <c r="B21" s="105" t="inlineStr">
        <is>
          <t>上週 04/05~04/11</t>
        </is>
      </c>
      <c r="C21" s="113" t="n"/>
      <c r="D21" s="113" t="n"/>
      <c r="E21" s="113" t="n"/>
      <c r="F21" s="113" t="n"/>
      <c r="G21" s="113" t="n"/>
      <c r="H21" s="113" t="n"/>
      <c r="I21" s="113" t="n"/>
      <c r="J21" s="113" t="n"/>
      <c r="K21" s="114" t="n"/>
      <c r="L21" s="105" t="inlineStr">
        <is>
          <t>本週 04/12~04/18</t>
        </is>
      </c>
      <c r="M21" s="113" t="n"/>
      <c r="N21" s="113" t="n"/>
      <c r="O21" s="113" t="n"/>
      <c r="P21" s="113" t="n"/>
      <c r="Q21" s="113" t="n"/>
      <c r="R21" s="113" t="n"/>
      <c r="S21" s="113" t="n"/>
      <c r="T21" s="113" t="n"/>
      <c r="U21" s="114" t="n"/>
      <c r="V21" s="86" t="inlineStr">
        <is>
          <t>差異數量</t>
        </is>
      </c>
      <c r="W21" s="113" t="n"/>
      <c r="X21" s="114" t="n"/>
      <c r="Y21" s="86" t="inlineStr">
        <is>
          <t>差異金額</t>
        </is>
      </c>
      <c r="Z21" s="113" t="n"/>
      <c r="AA21" s="114" t="n"/>
    </row>
    <row r="22" ht="17" customHeight="1" s="83">
      <c r="A22" s="127" t="n"/>
      <c r="B22" s="86" t="inlineStr">
        <is>
          <t>iPhone台數</t>
        </is>
      </c>
      <c r="C22" s="86" t="inlineStr">
        <is>
          <t>保貼數量</t>
        </is>
      </c>
      <c r="D22" s="86" t="inlineStr">
        <is>
          <t>保護殼數量</t>
        </is>
      </c>
      <c r="E22" s="86" t="inlineStr">
        <is>
          <t>鏡頭貼數量</t>
        </is>
      </c>
      <c r="F22" s="86" t="inlineStr">
        <is>
          <t>保貼金額</t>
        </is>
      </c>
      <c r="G22" s="86" t="inlineStr">
        <is>
          <t>保護殼金額</t>
        </is>
      </c>
      <c r="H22" s="86" t="inlineStr">
        <is>
          <t>鏡頭貼金額</t>
        </is>
      </c>
      <c r="I22" s="86" t="inlineStr">
        <is>
          <t>保貼佔比</t>
        </is>
      </c>
      <c r="J22" s="86" t="inlineStr">
        <is>
          <t>保護殼佔比</t>
        </is>
      </c>
      <c r="K22" s="86" t="inlineStr">
        <is>
          <t>鏡頭貼佔比</t>
        </is>
      </c>
      <c r="L22" s="86" t="inlineStr">
        <is>
          <t>iPhone台數</t>
        </is>
      </c>
      <c r="M22" s="86" t="inlineStr">
        <is>
          <t>保貼數量</t>
        </is>
      </c>
      <c r="N22" s="86" t="inlineStr">
        <is>
          <t>保護殼數量</t>
        </is>
      </c>
      <c r="O22" s="86" t="inlineStr">
        <is>
          <t>鏡頭貼數量</t>
        </is>
      </c>
      <c r="P22" s="86" t="inlineStr">
        <is>
          <t>保貼金額</t>
        </is>
      </c>
      <c r="Q22" s="86" t="inlineStr">
        <is>
          <t>保護殼金額</t>
        </is>
      </c>
      <c r="R22" s="86" t="inlineStr">
        <is>
          <t>鏡頭貼金額</t>
        </is>
      </c>
      <c r="S22" s="86" t="inlineStr">
        <is>
          <t>保貼佔比</t>
        </is>
      </c>
      <c r="T22" s="86" t="inlineStr">
        <is>
          <t>保護殼佔比</t>
        </is>
      </c>
      <c r="U22" s="86" t="inlineStr">
        <is>
          <t>鏡頭貼佔比</t>
        </is>
      </c>
      <c r="V22" s="86" t="inlineStr">
        <is>
          <t>保貼</t>
        </is>
      </c>
      <c r="W22" s="86" t="inlineStr">
        <is>
          <t>保護殼</t>
        </is>
      </c>
      <c r="X22" s="86" t="inlineStr">
        <is>
          <t>鏡頭貼</t>
        </is>
      </c>
      <c r="Y22" s="86" t="inlineStr">
        <is>
          <t>保貼</t>
        </is>
      </c>
      <c r="Z22" s="86" t="inlineStr">
        <is>
          <t>保護殼</t>
        </is>
      </c>
      <c r="AA22" s="86" t="inlineStr">
        <is>
          <t>鏡頭貼</t>
        </is>
      </c>
    </row>
    <row r="23" ht="17" customHeight="1" s="83">
      <c r="A23" s="41" t="inlineStr">
        <is>
          <t>士林門市</t>
        </is>
      </c>
      <c r="B23" s="128" t="n">
        <v>0</v>
      </c>
      <c r="C23" s="128" t="n">
        <v>0</v>
      </c>
      <c r="D23" s="128" t="n">
        <v>0</v>
      </c>
      <c r="E23" s="128" t="n">
        <v>0</v>
      </c>
      <c r="F23" s="128" t="n">
        <v>0</v>
      </c>
      <c r="G23" s="128" t="n">
        <v>0</v>
      </c>
      <c r="H23" s="128" t="n">
        <v>0</v>
      </c>
      <c r="I23" s="63" t="n">
        <v>0</v>
      </c>
      <c r="J23" s="63" t="n">
        <v>0</v>
      </c>
      <c r="K23" s="63" t="n">
        <v>0</v>
      </c>
      <c r="L23" s="128" t="n">
        <v>0</v>
      </c>
      <c r="M23" s="128" t="n">
        <v>0</v>
      </c>
      <c r="N23" s="128" t="n">
        <v>0</v>
      </c>
      <c r="O23" s="128" t="n">
        <v>0</v>
      </c>
      <c r="P23" s="128" t="n">
        <v>0</v>
      </c>
      <c r="Q23" s="128" t="n">
        <v>0</v>
      </c>
      <c r="R23" s="128" t="n">
        <v>0</v>
      </c>
      <c r="S23" s="63" t="n">
        <v>0</v>
      </c>
      <c r="T23" s="63" t="n">
        <v>0</v>
      </c>
      <c r="U23" s="63" t="n">
        <v>0</v>
      </c>
      <c r="V23" s="128" t="n">
        <v>0</v>
      </c>
      <c r="W23" s="128" t="n">
        <v>0</v>
      </c>
      <c r="X23" s="128" t="n">
        <v>0</v>
      </c>
      <c r="Y23" s="128" t="n">
        <v>0</v>
      </c>
      <c r="Z23" s="128" t="n">
        <v>0</v>
      </c>
      <c r="AA23" s="128" t="n">
        <v>0</v>
      </c>
    </row>
    <row r="24" ht="17" customHeight="1" s="83">
      <c r="A24" s="41" t="inlineStr">
        <is>
          <t>微風門市</t>
        </is>
      </c>
      <c r="B24" s="130" t="n">
        <v>0</v>
      </c>
      <c r="C24" s="130" t="n">
        <v>0</v>
      </c>
      <c r="D24" s="130" t="n">
        <v>0</v>
      </c>
      <c r="E24" s="130" t="n">
        <v>0</v>
      </c>
      <c r="F24" s="130" t="n">
        <v>0</v>
      </c>
      <c r="G24" s="130" t="n">
        <v>0</v>
      </c>
      <c r="H24" s="130" t="n">
        <v>0</v>
      </c>
      <c r="I24" s="65" t="n">
        <v>0</v>
      </c>
      <c r="J24" s="65" t="n">
        <v>0</v>
      </c>
      <c r="K24" s="65" t="n">
        <v>0</v>
      </c>
      <c r="L24" s="130" t="n">
        <v>0</v>
      </c>
      <c r="M24" s="130" t="n">
        <v>0</v>
      </c>
      <c r="N24" s="130" t="n">
        <v>0</v>
      </c>
      <c r="O24" s="130" t="n">
        <v>0</v>
      </c>
      <c r="P24" s="130" t="n">
        <v>0</v>
      </c>
      <c r="Q24" s="130" t="n">
        <v>0</v>
      </c>
      <c r="R24" s="130" t="n">
        <v>0</v>
      </c>
      <c r="S24" s="65" t="n">
        <v>0</v>
      </c>
      <c r="T24" s="65" t="n">
        <v>0</v>
      </c>
      <c r="U24" s="65" t="n">
        <v>0</v>
      </c>
      <c r="V24" s="130" t="n">
        <v>0</v>
      </c>
      <c r="W24" s="130" t="n">
        <v>0</v>
      </c>
      <c r="X24" s="130" t="n">
        <v>0</v>
      </c>
      <c r="Y24" s="130" t="n">
        <v>0</v>
      </c>
      <c r="Z24" s="130" t="n">
        <v>0</v>
      </c>
      <c r="AA24" s="130" t="n">
        <v>0</v>
      </c>
    </row>
    <row r="25" ht="17" customHeight="1" s="83">
      <c r="A25" s="41" t="inlineStr">
        <is>
          <t>美麗華門市</t>
        </is>
      </c>
      <c r="B25" s="128" t="n">
        <v>0</v>
      </c>
      <c r="C25" s="128" t="n">
        <v>0</v>
      </c>
      <c r="D25" s="128" t="n">
        <v>0</v>
      </c>
      <c r="E25" s="128" t="n">
        <v>0</v>
      </c>
      <c r="F25" s="128" t="n">
        <v>0</v>
      </c>
      <c r="G25" s="128" t="n">
        <v>0</v>
      </c>
      <c r="H25" s="128" t="n">
        <v>0</v>
      </c>
      <c r="I25" s="63" t="n">
        <v>0</v>
      </c>
      <c r="J25" s="63" t="n">
        <v>0</v>
      </c>
      <c r="K25" s="63" t="n">
        <v>0</v>
      </c>
      <c r="L25" s="128" t="n">
        <v>0</v>
      </c>
      <c r="M25" s="128" t="n">
        <v>0</v>
      </c>
      <c r="N25" s="128" t="n">
        <v>0</v>
      </c>
      <c r="O25" s="128" t="n">
        <v>0</v>
      </c>
      <c r="P25" s="128" t="n">
        <v>0</v>
      </c>
      <c r="Q25" s="128" t="n">
        <v>0</v>
      </c>
      <c r="R25" s="128" t="n">
        <v>0</v>
      </c>
      <c r="S25" s="63" t="n">
        <v>0</v>
      </c>
      <c r="T25" s="63" t="n">
        <v>0</v>
      </c>
      <c r="U25" s="63" t="n">
        <v>0</v>
      </c>
      <c r="V25" s="128" t="n">
        <v>0</v>
      </c>
      <c r="W25" s="128" t="n">
        <v>0</v>
      </c>
      <c r="X25" s="128" t="n">
        <v>0</v>
      </c>
      <c r="Y25" s="128" t="n">
        <v>0</v>
      </c>
      <c r="Z25" s="128" t="n">
        <v>0</v>
      </c>
      <c r="AA25" s="128" t="n">
        <v>0</v>
      </c>
    </row>
    <row r="26" ht="17" customHeight="1" s="83">
      <c r="A26" s="41" t="inlineStr">
        <is>
          <t>阿波羅門市</t>
        </is>
      </c>
      <c r="B26" s="130" t="n">
        <v>0</v>
      </c>
      <c r="C26" s="130" t="n">
        <v>0</v>
      </c>
      <c r="D26" s="130" t="n">
        <v>0</v>
      </c>
      <c r="E26" s="130" t="n">
        <v>0</v>
      </c>
      <c r="F26" s="130" t="n">
        <v>0</v>
      </c>
      <c r="G26" s="130" t="n">
        <v>0</v>
      </c>
      <c r="H26" s="130" t="n">
        <v>0</v>
      </c>
      <c r="I26" s="65" t="n">
        <v>0</v>
      </c>
      <c r="J26" s="65" t="n">
        <v>0</v>
      </c>
      <c r="K26" s="65" t="n">
        <v>0</v>
      </c>
      <c r="L26" s="130" t="n">
        <v>0</v>
      </c>
      <c r="M26" s="130" t="n">
        <v>0</v>
      </c>
      <c r="N26" s="130" t="n">
        <v>0</v>
      </c>
      <c r="O26" s="130" t="n">
        <v>0</v>
      </c>
      <c r="P26" s="130" t="n">
        <v>0</v>
      </c>
      <c r="Q26" s="130" t="n">
        <v>0</v>
      </c>
      <c r="R26" s="130" t="n">
        <v>0</v>
      </c>
      <c r="S26" s="65" t="n">
        <v>0</v>
      </c>
      <c r="T26" s="65" t="n">
        <v>0</v>
      </c>
      <c r="U26" s="65" t="n">
        <v>0</v>
      </c>
      <c r="V26" s="130" t="n">
        <v>0</v>
      </c>
      <c r="W26" s="130" t="n">
        <v>0</v>
      </c>
      <c r="X26" s="130" t="n">
        <v>0</v>
      </c>
      <c r="Y26" s="130" t="n">
        <v>0</v>
      </c>
      <c r="Z26" s="130" t="n">
        <v>0</v>
      </c>
      <c r="AA26" s="130" t="n">
        <v>0</v>
      </c>
    </row>
    <row r="27" ht="17" customHeight="1" s="83">
      <c r="A27" s="41" t="inlineStr">
        <is>
          <t>大葉高島屋門市</t>
        </is>
      </c>
      <c r="B27" s="128" t="n">
        <v>0</v>
      </c>
      <c r="C27" s="128" t="n">
        <v>0</v>
      </c>
      <c r="D27" s="128" t="n">
        <v>0</v>
      </c>
      <c r="E27" s="128" t="n">
        <v>0</v>
      </c>
      <c r="F27" s="128" t="n">
        <v>0</v>
      </c>
      <c r="G27" s="128" t="n">
        <v>0</v>
      </c>
      <c r="H27" s="128" t="n">
        <v>0</v>
      </c>
      <c r="I27" s="63" t="n">
        <v>0</v>
      </c>
      <c r="J27" s="63" t="n">
        <v>0</v>
      </c>
      <c r="K27" s="63" t="n">
        <v>0</v>
      </c>
      <c r="L27" s="128" t="n">
        <v>0</v>
      </c>
      <c r="M27" s="128" t="n">
        <v>0</v>
      </c>
      <c r="N27" s="128" t="n">
        <v>0</v>
      </c>
      <c r="O27" s="128" t="n">
        <v>0</v>
      </c>
      <c r="P27" s="128" t="n">
        <v>0</v>
      </c>
      <c r="Q27" s="128" t="n">
        <v>0</v>
      </c>
      <c r="R27" s="128" t="n">
        <v>0</v>
      </c>
      <c r="S27" s="63" t="n">
        <v>0</v>
      </c>
      <c r="T27" s="63" t="n">
        <v>0</v>
      </c>
      <c r="U27" s="63" t="n">
        <v>0</v>
      </c>
      <c r="V27" s="128" t="n">
        <v>0</v>
      </c>
      <c r="W27" s="128" t="n">
        <v>0</v>
      </c>
      <c r="X27" s="128" t="n">
        <v>0</v>
      </c>
      <c r="Y27" s="128" t="n">
        <v>0</v>
      </c>
      <c r="Z27" s="128" t="n">
        <v>0</v>
      </c>
      <c r="AA27" s="128" t="n">
        <v>0</v>
      </c>
    </row>
    <row r="28" ht="17" customHeight="1" s="83">
      <c r="A28" s="41" t="inlineStr">
        <is>
          <t>羅東門市</t>
        </is>
      </c>
      <c r="B28" s="130" t="n">
        <v>0</v>
      </c>
      <c r="C28" s="130" t="n">
        <v>0</v>
      </c>
      <c r="D28" s="130" t="n">
        <v>0</v>
      </c>
      <c r="E28" s="130" t="n">
        <v>0</v>
      </c>
      <c r="F28" s="130" t="n">
        <v>0</v>
      </c>
      <c r="G28" s="130" t="n">
        <v>0</v>
      </c>
      <c r="H28" s="130" t="n">
        <v>0</v>
      </c>
      <c r="I28" s="65" t="n">
        <v>0</v>
      </c>
      <c r="J28" s="65" t="n">
        <v>0</v>
      </c>
      <c r="K28" s="65" t="n">
        <v>0</v>
      </c>
      <c r="L28" s="130" t="n">
        <v>0</v>
      </c>
      <c r="M28" s="130" t="n">
        <v>0</v>
      </c>
      <c r="N28" s="130" t="n">
        <v>0</v>
      </c>
      <c r="O28" s="130" t="n">
        <v>0</v>
      </c>
      <c r="P28" s="130" t="n">
        <v>0</v>
      </c>
      <c r="Q28" s="130" t="n">
        <v>0</v>
      </c>
      <c r="R28" s="130" t="n">
        <v>0</v>
      </c>
      <c r="S28" s="65" t="n">
        <v>0</v>
      </c>
      <c r="T28" s="65" t="n">
        <v>0</v>
      </c>
      <c r="U28" s="65" t="n">
        <v>0</v>
      </c>
      <c r="V28" s="130" t="n">
        <v>0</v>
      </c>
      <c r="W28" s="130" t="n">
        <v>0</v>
      </c>
      <c r="X28" s="130" t="n">
        <v>0</v>
      </c>
      <c r="Y28" s="130" t="n">
        <v>0</v>
      </c>
      <c r="Z28" s="130" t="n">
        <v>0</v>
      </c>
      <c r="AA28" s="130" t="n">
        <v>0</v>
      </c>
    </row>
    <row r="29" ht="17" customHeight="1" s="83">
      <c r="A29" s="66" t="inlineStr">
        <is>
          <t>Total</t>
        </is>
      </c>
      <c r="B29" s="134" t="n">
        <v>0</v>
      </c>
      <c r="C29" s="134" t="n">
        <v>0</v>
      </c>
      <c r="D29" s="134" t="n">
        <v>0</v>
      </c>
      <c r="E29" s="134" t="n">
        <v>0</v>
      </c>
      <c r="F29" s="134" t="n">
        <v>0</v>
      </c>
      <c r="G29" s="134" t="n">
        <v>0</v>
      </c>
      <c r="H29" s="134" t="n">
        <v>0</v>
      </c>
      <c r="I29" s="68" t="n">
        <v>0</v>
      </c>
      <c r="J29" s="68" t="n">
        <v>0</v>
      </c>
      <c r="K29" s="68" t="n">
        <v>0</v>
      </c>
      <c r="L29" s="134" t="n">
        <v>0</v>
      </c>
      <c r="M29" s="134" t="n">
        <v>0</v>
      </c>
      <c r="N29" s="134" t="n">
        <v>0</v>
      </c>
      <c r="O29" s="134" t="n">
        <v>0</v>
      </c>
      <c r="P29" s="134" t="n">
        <v>0</v>
      </c>
      <c r="Q29" s="134" t="n">
        <v>0</v>
      </c>
      <c r="R29" s="134" t="n">
        <v>0</v>
      </c>
      <c r="S29" s="68" t="n">
        <v>0</v>
      </c>
      <c r="T29" s="68" t="n">
        <v>0</v>
      </c>
      <c r="U29" s="68" t="n">
        <v>0</v>
      </c>
      <c r="V29" s="134" t="n">
        <v>0</v>
      </c>
      <c r="W29" s="134" t="n">
        <v>0</v>
      </c>
      <c r="X29" s="134" t="n">
        <v>0</v>
      </c>
      <c r="Y29" s="134" t="n">
        <v>0</v>
      </c>
      <c r="Z29" s="134" t="n">
        <v>0</v>
      </c>
      <c r="AA29" s="134" t="n">
        <v>0</v>
      </c>
    </row>
    <row r="30">
      <c r="A30" s="107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0" t="n"/>
      <c r="S30" s="90" t="n"/>
      <c r="T30" s="90" t="n"/>
      <c r="U30" s="90" t="n"/>
      <c r="V30" s="90" t="n"/>
      <c r="W30" s="90" t="n"/>
      <c r="X30" s="90" t="n"/>
      <c r="Y30" s="90" t="n"/>
      <c r="Z30" s="90" t="n"/>
      <c r="AA30" s="90" t="n"/>
    </row>
    <row r="31" ht="20" customHeight="1" s="83">
      <c r="A31" s="136" t="inlineStr">
        <is>
          <t>iPad 配件</t>
        </is>
      </c>
      <c r="B31" s="137" t="inlineStr">
        <is>
          <t>上週</t>
        </is>
      </c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9" t="n"/>
      <c r="R31" s="137" t="inlineStr">
        <is>
          <t>本週</t>
        </is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  <c r="AC31" s="138" t="n"/>
      <c r="AD31" s="138" t="n"/>
      <c r="AE31" s="138" t="n"/>
      <c r="AF31" s="138" t="n"/>
      <c r="AG31" s="139" t="n"/>
      <c r="AH31" s="140" t="inlineStr">
        <is>
          <t>差異數量</t>
        </is>
      </c>
      <c r="AI31" s="138" t="n"/>
      <c r="AJ31" s="138" t="n"/>
      <c r="AK31" s="138" t="n"/>
      <c r="AL31" s="139" t="n"/>
      <c r="AM31" s="140" t="inlineStr">
        <is>
          <t>差異金額</t>
        </is>
      </c>
      <c r="AN31" s="138" t="n"/>
      <c r="AO31" s="138" t="n"/>
      <c r="AP31" s="138" t="n"/>
      <c r="AQ31" s="139" t="n"/>
    </row>
    <row r="32" ht="17" customHeight="1" s="83">
      <c r="A32" s="141" t="n"/>
      <c r="B32" s="140" t="inlineStr">
        <is>
          <t>iPad台數</t>
        </is>
      </c>
      <c r="C32" s="140" t="inlineStr">
        <is>
          <t>原廠筆數量</t>
        </is>
      </c>
      <c r="D32" s="140" t="inlineStr">
        <is>
          <t>副廠筆數量</t>
        </is>
      </c>
      <c r="E32" s="140" t="inlineStr">
        <is>
          <t>保貼數量</t>
        </is>
      </c>
      <c r="F32" s="140" t="inlineStr">
        <is>
          <t>保護殼數量</t>
        </is>
      </c>
      <c r="G32" s="140" t="inlineStr">
        <is>
          <t>鍵盤數量</t>
        </is>
      </c>
      <c r="H32" s="140" t="inlineStr">
        <is>
          <t>原廠筆金額</t>
        </is>
      </c>
      <c r="I32" s="140" t="inlineStr">
        <is>
          <t>副廠筆金額</t>
        </is>
      </c>
      <c r="J32" s="140" t="inlineStr">
        <is>
          <t>保貼金額</t>
        </is>
      </c>
      <c r="K32" s="140" t="inlineStr">
        <is>
          <t>保護殼金額</t>
        </is>
      </c>
      <c r="L32" s="140" t="inlineStr">
        <is>
          <t>鍵盤金額</t>
        </is>
      </c>
      <c r="M32" s="140" t="inlineStr">
        <is>
          <t>原廠筆佔比</t>
        </is>
      </c>
      <c r="N32" s="140" t="inlineStr">
        <is>
          <t>副廠筆佔比</t>
        </is>
      </c>
      <c r="O32" s="140" t="inlineStr">
        <is>
          <t>保貼佔比</t>
        </is>
      </c>
      <c r="P32" s="140" t="inlineStr">
        <is>
          <t>保護殼佔比</t>
        </is>
      </c>
      <c r="Q32" s="140" t="inlineStr">
        <is>
          <t>鍵盤佔比</t>
        </is>
      </c>
      <c r="R32" s="140" t="inlineStr">
        <is>
          <t>iPad台數</t>
        </is>
      </c>
      <c r="S32" s="140" t="inlineStr">
        <is>
          <t>原廠筆數量</t>
        </is>
      </c>
      <c r="T32" s="140" t="inlineStr">
        <is>
          <t>副廠筆數量</t>
        </is>
      </c>
      <c r="U32" s="140" t="inlineStr">
        <is>
          <t>保貼數量</t>
        </is>
      </c>
      <c r="V32" s="140" t="inlineStr">
        <is>
          <t>保護殼數量</t>
        </is>
      </c>
      <c r="W32" s="140" t="inlineStr">
        <is>
          <t>鍵盤數量</t>
        </is>
      </c>
      <c r="X32" s="140" t="inlineStr">
        <is>
          <t>原廠筆金額</t>
        </is>
      </c>
      <c r="Y32" s="140" t="inlineStr">
        <is>
          <t>副廠筆金額</t>
        </is>
      </c>
      <c r="Z32" s="140" t="inlineStr">
        <is>
          <t>保貼金額</t>
        </is>
      </c>
      <c r="AA32" s="140" t="inlineStr">
        <is>
          <t>保護殼金額</t>
        </is>
      </c>
      <c r="AB32" s="140" t="inlineStr">
        <is>
          <t>鍵盤金額</t>
        </is>
      </c>
      <c r="AC32" s="140" t="inlineStr">
        <is>
          <t>原廠筆佔比</t>
        </is>
      </c>
      <c r="AD32" s="140" t="inlineStr">
        <is>
          <t>副廠筆佔比</t>
        </is>
      </c>
      <c r="AE32" s="140" t="inlineStr">
        <is>
          <t>保貼佔比</t>
        </is>
      </c>
      <c r="AF32" s="140" t="inlineStr">
        <is>
          <t>保護殼佔比</t>
        </is>
      </c>
      <c r="AG32" s="140" t="inlineStr">
        <is>
          <t>鍵盤佔比</t>
        </is>
      </c>
      <c r="AH32" s="140" t="inlineStr">
        <is>
          <t>原廠筆</t>
        </is>
      </c>
      <c r="AI32" s="140" t="inlineStr">
        <is>
          <t>副廠筆</t>
        </is>
      </c>
      <c r="AJ32" s="140" t="inlineStr">
        <is>
          <t>保貼</t>
        </is>
      </c>
      <c r="AK32" s="140" t="inlineStr">
        <is>
          <t>保護殼</t>
        </is>
      </c>
      <c r="AL32" s="140" t="inlineStr">
        <is>
          <t>鍵盤</t>
        </is>
      </c>
      <c r="AM32" s="140" t="inlineStr">
        <is>
          <t>原廠筆</t>
        </is>
      </c>
      <c r="AN32" s="140" t="inlineStr">
        <is>
          <t>副廠筆</t>
        </is>
      </c>
      <c r="AO32" s="140" t="inlineStr">
        <is>
          <t>保貼</t>
        </is>
      </c>
      <c r="AP32" s="140" t="inlineStr">
        <is>
          <t>保護殼</t>
        </is>
      </c>
      <c r="AQ32" s="140" t="inlineStr">
        <is>
          <t>鍵盤</t>
        </is>
      </c>
    </row>
    <row r="33" ht="17" customHeight="1" s="83">
      <c r="A33" s="142" t="inlineStr">
        <is>
          <t>士林門市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4">
        <f>IF(B33=0,0,C33/B33)</f>
        <v/>
      </c>
      <c r="N33" s="144">
        <f>IF(B33=0,0,D33/B33)</f>
        <v/>
      </c>
      <c r="O33" s="144">
        <f>IF(B33=0,0,E33/B33)</f>
        <v/>
      </c>
      <c r="P33" s="144">
        <f>IF(B33=0,0,F33/B33)</f>
        <v/>
      </c>
      <c r="Q33" s="144">
        <f>IF(B33=0,0,G33/B33)</f>
        <v/>
      </c>
      <c r="R33" s="143" t="n"/>
      <c r="S33" s="143" t="n"/>
      <c r="T33" s="143" t="n"/>
      <c r="U33" s="143" t="n"/>
      <c r="V33" s="143" t="n"/>
      <c r="W33" s="143" t="n"/>
      <c r="X33" s="143" t="n"/>
      <c r="Y33" s="143" t="n"/>
      <c r="Z33" s="143" t="n"/>
      <c r="AA33" s="143" t="n"/>
      <c r="AB33" s="143" t="n"/>
      <c r="AC33" s="144">
        <f>IF(R33=0,0,S33/R33)</f>
        <v/>
      </c>
      <c r="AD33" s="144">
        <f>IF(R33=0,0,T33/R33)</f>
        <v/>
      </c>
      <c r="AE33" s="144">
        <f>IF(R33=0,0,U33/R33)</f>
        <v/>
      </c>
      <c r="AF33" s="144">
        <f>IF(R33=0,0,V33/R33)</f>
        <v/>
      </c>
      <c r="AG33" s="144">
        <f>IF(R33=0,0,W33/R33)</f>
        <v/>
      </c>
      <c r="AH33" s="143">
        <f>S33-C33</f>
        <v/>
      </c>
      <c r="AI33" s="143">
        <f>T33-D33</f>
        <v/>
      </c>
      <c r="AJ33" s="143">
        <f>U33-E33</f>
        <v/>
      </c>
      <c r="AK33" s="143">
        <f>V33-F33</f>
        <v/>
      </c>
      <c r="AL33" s="143">
        <f>W33-G33</f>
        <v/>
      </c>
      <c r="AM33" s="143">
        <f>X33-H33</f>
        <v/>
      </c>
      <c r="AN33" s="143">
        <f>Y33-I33</f>
        <v/>
      </c>
      <c r="AO33" s="143">
        <f>Z33-J33</f>
        <v/>
      </c>
      <c r="AP33" s="143">
        <f>AA33-K33</f>
        <v/>
      </c>
      <c r="AQ33" s="143">
        <f>AB33-L33</f>
        <v/>
      </c>
    </row>
    <row r="34" ht="17" customHeight="1" s="83">
      <c r="A34" s="142" t="inlineStr">
        <is>
          <t>微風門市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4">
        <f>IF(B34=0,0,C34/B34)</f>
        <v/>
      </c>
      <c r="N34" s="144">
        <f>IF(B34=0,0,D34/B34)</f>
        <v/>
      </c>
      <c r="O34" s="144">
        <f>IF(B34=0,0,E34/B34)</f>
        <v/>
      </c>
      <c r="P34" s="144">
        <f>IF(B34=0,0,F34/B34)</f>
        <v/>
      </c>
      <c r="Q34" s="144">
        <f>IF(B34=0,0,G34/B34)</f>
        <v/>
      </c>
      <c r="R34" s="143" t="n"/>
      <c r="S34" s="143" t="n"/>
      <c r="T34" s="143" t="n"/>
      <c r="U34" s="143" t="n"/>
      <c r="V34" s="143" t="n"/>
      <c r="W34" s="143" t="n"/>
      <c r="X34" s="143" t="n"/>
      <c r="Y34" s="143" t="n"/>
      <c r="Z34" s="143" t="n"/>
      <c r="AA34" s="143" t="n"/>
      <c r="AB34" s="143" t="n"/>
      <c r="AC34" s="144">
        <f>IF(R34=0,0,S34/R34)</f>
        <v/>
      </c>
      <c r="AD34" s="144">
        <f>IF(R34=0,0,T34/R34)</f>
        <v/>
      </c>
      <c r="AE34" s="144">
        <f>IF(R34=0,0,U34/R34)</f>
        <v/>
      </c>
      <c r="AF34" s="144">
        <f>IF(R34=0,0,V34/R34)</f>
        <v/>
      </c>
      <c r="AG34" s="144">
        <f>IF(R34=0,0,W34/R34)</f>
        <v/>
      </c>
      <c r="AH34" s="143">
        <f>S34-C34</f>
        <v/>
      </c>
      <c r="AI34" s="143">
        <f>T34-D34</f>
        <v/>
      </c>
      <c r="AJ34" s="143">
        <f>U34-E34</f>
        <v/>
      </c>
      <c r="AK34" s="143">
        <f>V34-F34</f>
        <v/>
      </c>
      <c r="AL34" s="143">
        <f>W34-G34</f>
        <v/>
      </c>
      <c r="AM34" s="143">
        <f>X34-H34</f>
        <v/>
      </c>
      <c r="AN34" s="143">
        <f>Y34-I34</f>
        <v/>
      </c>
      <c r="AO34" s="143">
        <f>Z34-J34</f>
        <v/>
      </c>
      <c r="AP34" s="143">
        <f>AA34-K34</f>
        <v/>
      </c>
      <c r="AQ34" s="143">
        <f>AB34-L34</f>
        <v/>
      </c>
    </row>
    <row r="35" ht="17" customHeight="1" s="83">
      <c r="A35" s="142" t="inlineStr">
        <is>
          <t>美麗華門市</t>
        </is>
      </c>
      <c r="B35" s="143" t="n"/>
      <c r="C35" s="143" t="n"/>
      <c r="D35" s="143" t="n"/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4">
        <f>IF(B35=0,0,C35/B35)</f>
        <v/>
      </c>
      <c r="N35" s="144">
        <f>IF(B35=0,0,D35/B35)</f>
        <v/>
      </c>
      <c r="O35" s="144">
        <f>IF(B35=0,0,E35/B35)</f>
        <v/>
      </c>
      <c r="P35" s="144">
        <f>IF(B35=0,0,F35/B35)</f>
        <v/>
      </c>
      <c r="Q35" s="144">
        <f>IF(B35=0,0,G35/B35)</f>
        <v/>
      </c>
      <c r="R35" s="143" t="n"/>
      <c r="S35" s="143" t="n"/>
      <c r="T35" s="143" t="n"/>
      <c r="U35" s="143" t="n"/>
      <c r="V35" s="143" t="n"/>
      <c r="W35" s="143" t="n"/>
      <c r="X35" s="143" t="n"/>
      <c r="Y35" s="143" t="n"/>
      <c r="Z35" s="143" t="n"/>
      <c r="AA35" s="143" t="n"/>
      <c r="AB35" s="143" t="n"/>
      <c r="AC35" s="144">
        <f>IF(R35=0,0,S35/R35)</f>
        <v/>
      </c>
      <c r="AD35" s="144">
        <f>IF(R35=0,0,T35/R35)</f>
        <v/>
      </c>
      <c r="AE35" s="144">
        <f>IF(R35=0,0,U35/R35)</f>
        <v/>
      </c>
      <c r="AF35" s="144">
        <f>IF(R35=0,0,V35/R35)</f>
        <v/>
      </c>
      <c r="AG35" s="144">
        <f>IF(R35=0,0,W35/R35)</f>
        <v/>
      </c>
      <c r="AH35" s="143">
        <f>S35-C35</f>
        <v/>
      </c>
      <c r="AI35" s="143">
        <f>T35-D35</f>
        <v/>
      </c>
      <c r="AJ35" s="143">
        <f>U35-E35</f>
        <v/>
      </c>
      <c r="AK35" s="143">
        <f>V35-F35</f>
        <v/>
      </c>
      <c r="AL35" s="143">
        <f>W35-G35</f>
        <v/>
      </c>
      <c r="AM35" s="143">
        <f>X35-H35</f>
        <v/>
      </c>
      <c r="AN35" s="143">
        <f>Y35-I35</f>
        <v/>
      </c>
      <c r="AO35" s="143">
        <f>Z35-J35</f>
        <v/>
      </c>
      <c r="AP35" s="143">
        <f>AA35-K35</f>
        <v/>
      </c>
      <c r="AQ35" s="143">
        <f>AB35-L35</f>
        <v/>
      </c>
    </row>
    <row r="36" ht="17" customHeight="1" s="83">
      <c r="A36" s="142" t="inlineStr">
        <is>
          <t>阿波羅門市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4">
        <f>IF(B36=0,0,C36/B36)</f>
        <v/>
      </c>
      <c r="N36" s="144">
        <f>IF(B36=0,0,D36/B36)</f>
        <v/>
      </c>
      <c r="O36" s="144">
        <f>IF(B36=0,0,E36/B36)</f>
        <v/>
      </c>
      <c r="P36" s="144">
        <f>IF(B36=0,0,F36/B36)</f>
        <v/>
      </c>
      <c r="Q36" s="144">
        <f>IF(B36=0,0,G36/B36)</f>
        <v/>
      </c>
      <c r="R36" s="143" t="n"/>
      <c r="S36" s="143" t="n"/>
      <c r="T36" s="143" t="n"/>
      <c r="U36" s="143" t="n"/>
      <c r="V36" s="143" t="n"/>
      <c r="W36" s="143" t="n"/>
      <c r="X36" s="143" t="n"/>
      <c r="Y36" s="143" t="n"/>
      <c r="Z36" s="143" t="n"/>
      <c r="AA36" s="143" t="n"/>
      <c r="AB36" s="143" t="n"/>
      <c r="AC36" s="144">
        <f>IF(R36=0,0,S36/R36)</f>
        <v/>
      </c>
      <c r="AD36" s="144">
        <f>IF(R36=0,0,T36/R36)</f>
        <v/>
      </c>
      <c r="AE36" s="144">
        <f>IF(R36=0,0,U36/R36)</f>
        <v/>
      </c>
      <c r="AF36" s="144">
        <f>IF(R36=0,0,V36/R36)</f>
        <v/>
      </c>
      <c r="AG36" s="144">
        <f>IF(R36=0,0,W36/R36)</f>
        <v/>
      </c>
      <c r="AH36" s="143">
        <f>S36-C36</f>
        <v/>
      </c>
      <c r="AI36" s="143">
        <f>T36-D36</f>
        <v/>
      </c>
      <c r="AJ36" s="143">
        <f>U36-E36</f>
        <v/>
      </c>
      <c r="AK36" s="143">
        <f>V36-F36</f>
        <v/>
      </c>
      <c r="AL36" s="143">
        <f>W36-G36</f>
        <v/>
      </c>
      <c r="AM36" s="143">
        <f>X36-H36</f>
        <v/>
      </c>
      <c r="AN36" s="143">
        <f>Y36-I36</f>
        <v/>
      </c>
      <c r="AO36" s="143">
        <f>Z36-J36</f>
        <v/>
      </c>
      <c r="AP36" s="143">
        <f>AA36-K36</f>
        <v/>
      </c>
      <c r="AQ36" s="143">
        <f>AB36-L36</f>
        <v/>
      </c>
    </row>
    <row r="37" ht="17" customHeight="1" s="83">
      <c r="A37" s="142" t="inlineStr">
        <is>
          <t>大葉高島屋門市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4">
        <f>IF(B37=0,0,C37/B37)</f>
        <v/>
      </c>
      <c r="N37" s="144">
        <f>IF(B37=0,0,D37/B37)</f>
        <v/>
      </c>
      <c r="O37" s="144">
        <f>IF(B37=0,0,E37/B37)</f>
        <v/>
      </c>
      <c r="P37" s="144">
        <f>IF(B37=0,0,F37/B37)</f>
        <v/>
      </c>
      <c r="Q37" s="144">
        <f>IF(B37=0,0,G37/B37)</f>
        <v/>
      </c>
      <c r="R37" s="143" t="n"/>
      <c r="S37" s="143" t="n"/>
      <c r="T37" s="143" t="n"/>
      <c r="U37" s="143" t="n"/>
      <c r="V37" s="143" t="n"/>
      <c r="W37" s="143" t="n"/>
      <c r="X37" s="143" t="n"/>
      <c r="Y37" s="143" t="n"/>
      <c r="Z37" s="143" t="n"/>
      <c r="AA37" s="143" t="n"/>
      <c r="AB37" s="143" t="n"/>
      <c r="AC37" s="144">
        <f>IF(R37=0,0,S37/R37)</f>
        <v/>
      </c>
      <c r="AD37" s="144">
        <f>IF(R37=0,0,T37/R37)</f>
        <v/>
      </c>
      <c r="AE37" s="144">
        <f>IF(R37=0,0,U37/R37)</f>
        <v/>
      </c>
      <c r="AF37" s="144">
        <f>IF(R37=0,0,V37/R37)</f>
        <v/>
      </c>
      <c r="AG37" s="144">
        <f>IF(R37=0,0,W37/R37)</f>
        <v/>
      </c>
      <c r="AH37" s="143">
        <f>S37-C37</f>
        <v/>
      </c>
      <c r="AI37" s="143">
        <f>T37-D37</f>
        <v/>
      </c>
      <c r="AJ37" s="143">
        <f>U37-E37</f>
        <v/>
      </c>
      <c r="AK37" s="143">
        <f>V37-F37</f>
        <v/>
      </c>
      <c r="AL37" s="143">
        <f>W37-G37</f>
        <v/>
      </c>
      <c r="AM37" s="143">
        <f>X37-H37</f>
        <v/>
      </c>
      <c r="AN37" s="143">
        <f>Y37-I37</f>
        <v/>
      </c>
      <c r="AO37" s="143">
        <f>Z37-J37</f>
        <v/>
      </c>
      <c r="AP37" s="143">
        <f>AA37-K37</f>
        <v/>
      </c>
      <c r="AQ37" s="143">
        <f>AB37-L37</f>
        <v/>
      </c>
    </row>
    <row r="38" ht="17" customHeight="1" s="83">
      <c r="A38" s="142" t="inlineStr">
        <is>
          <t>羅東門市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4">
        <f>IF(B38=0,0,C38/B38)</f>
        <v/>
      </c>
      <c r="N38" s="144">
        <f>IF(B38=0,0,D38/B38)</f>
        <v/>
      </c>
      <c r="O38" s="144">
        <f>IF(B38=0,0,E38/B38)</f>
        <v/>
      </c>
      <c r="P38" s="144">
        <f>IF(B38=0,0,F38/B38)</f>
        <v/>
      </c>
      <c r="Q38" s="144">
        <f>IF(B38=0,0,G38/B38)</f>
        <v/>
      </c>
      <c r="R38" s="143" t="n"/>
      <c r="S38" s="143" t="n"/>
      <c r="T38" s="143" t="n"/>
      <c r="U38" s="143" t="n"/>
      <c r="V38" s="143" t="n"/>
      <c r="W38" s="143" t="n"/>
      <c r="X38" s="143" t="n"/>
      <c r="Y38" s="143" t="n"/>
      <c r="Z38" s="143" t="n"/>
      <c r="AA38" s="143" t="n"/>
      <c r="AB38" s="143" t="n"/>
      <c r="AC38" s="144">
        <f>IF(R38=0,0,S38/R38)</f>
        <v/>
      </c>
      <c r="AD38" s="144">
        <f>IF(R38=0,0,T38/R38)</f>
        <v/>
      </c>
      <c r="AE38" s="144">
        <f>IF(R38=0,0,U38/R38)</f>
        <v/>
      </c>
      <c r="AF38" s="144">
        <f>IF(R38=0,0,V38/R38)</f>
        <v/>
      </c>
      <c r="AG38" s="144">
        <f>IF(R38=0,0,W38/R38)</f>
        <v/>
      </c>
      <c r="AH38" s="143">
        <f>S38-C38</f>
        <v/>
      </c>
      <c r="AI38" s="143">
        <f>T38-D38</f>
        <v/>
      </c>
      <c r="AJ38" s="143">
        <f>U38-E38</f>
        <v/>
      </c>
      <c r="AK38" s="143">
        <f>V38-F38</f>
        <v/>
      </c>
      <c r="AL38" s="143">
        <f>W38-G38</f>
        <v/>
      </c>
      <c r="AM38" s="143">
        <f>X38-H38</f>
        <v/>
      </c>
      <c r="AN38" s="143">
        <f>Y38-I38</f>
        <v/>
      </c>
      <c r="AO38" s="143">
        <f>Z38-J38</f>
        <v/>
      </c>
      <c r="AP38" s="143">
        <f>AA38-K38</f>
        <v/>
      </c>
      <c r="AQ38" s="143">
        <f>AB38-L38</f>
        <v/>
      </c>
    </row>
    <row r="39" ht="17" customHeight="1" s="83">
      <c r="A39" s="145" t="inlineStr">
        <is>
          <t>Total</t>
        </is>
      </c>
      <c r="B39" s="146">
        <f>SUM(B33:B38)</f>
        <v/>
      </c>
      <c r="C39" s="146">
        <f>SUM(C33:C38)</f>
        <v/>
      </c>
      <c r="D39" s="146">
        <f>SUM(D33:D38)</f>
        <v/>
      </c>
      <c r="E39" s="146">
        <f>SUM(E33:E38)</f>
        <v/>
      </c>
      <c r="F39" s="146">
        <f>SUM(F33:F38)</f>
        <v/>
      </c>
      <c r="G39" s="146">
        <f>SUM(G33:G38)</f>
        <v/>
      </c>
      <c r="H39" s="146">
        <f>SUM(H33:H38)</f>
        <v/>
      </c>
      <c r="I39" s="146">
        <f>SUM(I33:I38)</f>
        <v/>
      </c>
      <c r="J39" s="146">
        <f>SUM(J33:J38)</f>
        <v/>
      </c>
      <c r="K39" s="146">
        <f>SUM(K33:K38)</f>
        <v/>
      </c>
      <c r="L39" s="146">
        <f>SUM(L33:L38)</f>
        <v/>
      </c>
      <c r="M39" s="147">
        <f>IF(B39=0,0,C39/B39)</f>
        <v/>
      </c>
      <c r="N39" s="147">
        <f>IF(B39=0,0,D39/B39)</f>
        <v/>
      </c>
      <c r="O39" s="147">
        <f>IF(B39=0,0,E39/B39)</f>
        <v/>
      </c>
      <c r="P39" s="147">
        <f>IF(B39=0,0,F39/B39)</f>
        <v/>
      </c>
      <c r="Q39" s="147">
        <f>IF(B39=0,0,G39/B39)</f>
        <v/>
      </c>
      <c r="R39" s="146">
        <f>SUM(R33:R38)</f>
        <v/>
      </c>
      <c r="S39" s="146">
        <f>SUM(S33:S38)</f>
        <v/>
      </c>
      <c r="T39" s="146">
        <f>SUM(T33:T38)</f>
        <v/>
      </c>
      <c r="U39" s="146">
        <f>SUM(U33:U38)</f>
        <v/>
      </c>
      <c r="V39" s="146">
        <f>SUM(V33:V38)</f>
        <v/>
      </c>
      <c r="W39" s="146">
        <f>SUM(W33:W38)</f>
        <v/>
      </c>
      <c r="X39" s="146">
        <f>SUM(X33:X38)</f>
        <v/>
      </c>
      <c r="Y39" s="146">
        <f>SUM(Y33:Y38)</f>
        <v/>
      </c>
      <c r="Z39" s="146">
        <f>SUM(Z33:Z38)</f>
        <v/>
      </c>
      <c r="AA39" s="146">
        <f>SUM(AA33:AA38)</f>
        <v/>
      </c>
      <c r="AB39" s="146">
        <f>SUM(AB33:AB38)</f>
        <v/>
      </c>
      <c r="AC39" s="147">
        <f>IF(R39=0,0,S39/R39)</f>
        <v/>
      </c>
      <c r="AD39" s="147">
        <f>IF(R39=0,0,T39/R39)</f>
        <v/>
      </c>
      <c r="AE39" s="147">
        <f>IF(R39=0,0,U39/R39)</f>
        <v/>
      </c>
      <c r="AF39" s="147">
        <f>IF(R39=0,0,V39/R39)</f>
        <v/>
      </c>
      <c r="AG39" s="147">
        <f>IF(R39=0,0,W39/R39)</f>
        <v/>
      </c>
      <c r="AH39" s="146">
        <f>S39-C39</f>
        <v/>
      </c>
      <c r="AI39" s="146">
        <f>T39-D39</f>
        <v/>
      </c>
      <c r="AJ39" s="146">
        <f>U39-E39</f>
        <v/>
      </c>
      <c r="AK39" s="146">
        <f>V39-F39</f>
        <v/>
      </c>
      <c r="AL39" s="146">
        <f>W39-G39</f>
        <v/>
      </c>
      <c r="AM39" s="146">
        <f>X39-H39</f>
        <v/>
      </c>
      <c r="AN39" s="146">
        <f>Y39-I39</f>
        <v/>
      </c>
      <c r="AO39" s="146">
        <f>Z39-J39</f>
        <v/>
      </c>
      <c r="AP39" s="146">
        <f>AA39-K39</f>
        <v/>
      </c>
      <c r="AQ39" s="146">
        <f>AB39-L39</f>
        <v/>
      </c>
    </row>
    <row r="40">
      <c r="A40" s="107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0" t="n"/>
      <c r="S40" s="90" t="n"/>
      <c r="T40" s="90" t="n"/>
      <c r="U40" s="90" t="n"/>
      <c r="V40" s="90" t="n"/>
      <c r="W40" s="90" t="n"/>
      <c r="X40" s="90" t="n"/>
      <c r="Y40" s="90" t="n"/>
      <c r="Z40" s="90" t="n"/>
      <c r="AA40" s="90" t="n"/>
    </row>
    <row r="41" ht="20" customHeight="1" s="83">
      <c r="A41" s="136" t="inlineStr">
        <is>
          <t>Watch 配件</t>
        </is>
      </c>
      <c r="B41" s="137" t="inlineStr">
        <is>
          <t>上週</t>
        </is>
      </c>
      <c r="C41" s="138" t="n"/>
      <c r="D41" s="138" t="n"/>
      <c r="E41" s="138" t="n"/>
      <c r="F41" s="138" t="n"/>
      <c r="G41" s="138" t="n"/>
      <c r="H41" s="139" t="n"/>
      <c r="I41" s="137" t="inlineStr">
        <is>
          <t>本週</t>
        </is>
      </c>
      <c r="J41" s="138" t="n"/>
      <c r="K41" s="138" t="n"/>
      <c r="L41" s="138" t="n"/>
      <c r="M41" s="138" t="n"/>
      <c r="N41" s="138" t="n"/>
      <c r="O41" s="139" t="n"/>
      <c r="P41" s="140" t="inlineStr">
        <is>
          <t>差異數量</t>
        </is>
      </c>
      <c r="Q41" s="139" t="n"/>
      <c r="R41" s="140" t="inlineStr">
        <is>
          <t>差異金額</t>
        </is>
      </c>
      <c r="S41" s="139" t="n"/>
      <c r="T41" s="148" t="n"/>
      <c r="U41" s="148" t="n"/>
      <c r="V41" s="148" t="n"/>
      <c r="W41" s="148" t="n"/>
      <c r="X41" s="148" t="n"/>
      <c r="Y41" s="148" t="n"/>
      <c r="Z41" s="148" t="n"/>
      <c r="AA41" s="148" t="n"/>
      <c r="AB41" s="148" t="n"/>
      <c r="AC41" s="148" t="n"/>
      <c r="AD41" s="148" t="n"/>
      <c r="AE41" s="148" t="n"/>
      <c r="AF41" s="148" t="n"/>
      <c r="AG41" s="148" t="n"/>
      <c r="AH41" s="148" t="n"/>
      <c r="AI41" s="148" t="n"/>
      <c r="AJ41" s="148" t="n"/>
      <c r="AK41" s="148" t="n"/>
      <c r="AL41" s="148" t="n"/>
      <c r="AM41" s="148" t="n"/>
      <c r="AN41" s="148" t="n"/>
      <c r="AO41" s="148" t="n"/>
      <c r="AP41" s="148" t="n"/>
      <c r="AQ41" s="148" t="n"/>
    </row>
    <row r="42" ht="17" customHeight="1" s="83">
      <c r="A42" s="141" t="n"/>
      <c r="B42" s="140" t="inlineStr">
        <is>
          <t>Watch台數</t>
        </is>
      </c>
      <c r="C42" s="140" t="inlineStr">
        <is>
          <t>保貼數量</t>
        </is>
      </c>
      <c r="D42" s="140" t="inlineStr">
        <is>
          <t>錶帶數量</t>
        </is>
      </c>
      <c r="E42" s="140" t="inlineStr">
        <is>
          <t>保貼金額</t>
        </is>
      </c>
      <c r="F42" s="140" t="inlineStr">
        <is>
          <t>錶帶金額</t>
        </is>
      </c>
      <c r="G42" s="140" t="inlineStr">
        <is>
          <t>保貼佔比</t>
        </is>
      </c>
      <c r="H42" s="140" t="inlineStr">
        <is>
          <t>錶帶佔比</t>
        </is>
      </c>
      <c r="I42" s="140" t="inlineStr">
        <is>
          <t>Watch台數</t>
        </is>
      </c>
      <c r="J42" s="140" t="inlineStr">
        <is>
          <t>保貼數量</t>
        </is>
      </c>
      <c r="K42" s="140" t="inlineStr">
        <is>
          <t>錶帶數量</t>
        </is>
      </c>
      <c r="L42" s="140" t="inlineStr">
        <is>
          <t>保貼金額</t>
        </is>
      </c>
      <c r="M42" s="140" t="inlineStr">
        <is>
          <t>錶帶金額</t>
        </is>
      </c>
      <c r="N42" s="140" t="inlineStr">
        <is>
          <t>保貼佔比</t>
        </is>
      </c>
      <c r="O42" s="140" t="inlineStr">
        <is>
          <t>錶帶佔比</t>
        </is>
      </c>
      <c r="P42" s="140" t="inlineStr">
        <is>
          <t>保貼</t>
        </is>
      </c>
      <c r="Q42" s="140" t="inlineStr">
        <is>
          <t>錶帶</t>
        </is>
      </c>
      <c r="R42" s="140" t="inlineStr">
        <is>
          <t>保貼</t>
        </is>
      </c>
      <c r="S42" s="140" t="inlineStr">
        <is>
          <t>錶帶</t>
        </is>
      </c>
      <c r="T42" s="148" t="n"/>
      <c r="U42" s="148" t="n"/>
      <c r="V42" s="148" t="n"/>
      <c r="W42" s="148" t="n"/>
      <c r="X42" s="148" t="n"/>
      <c r="Y42" s="148" t="n"/>
      <c r="Z42" s="148" t="n"/>
      <c r="AA42" s="148" t="n"/>
      <c r="AB42" s="148" t="n"/>
      <c r="AC42" s="148" t="n"/>
      <c r="AD42" s="148" t="n"/>
      <c r="AE42" s="148" t="n"/>
      <c r="AF42" s="148" t="n"/>
      <c r="AG42" s="148" t="n"/>
      <c r="AH42" s="148" t="n"/>
      <c r="AI42" s="148" t="n"/>
      <c r="AJ42" s="148" t="n"/>
      <c r="AK42" s="148" t="n"/>
      <c r="AL42" s="148" t="n"/>
      <c r="AM42" s="148" t="n"/>
      <c r="AN42" s="148" t="n"/>
      <c r="AO42" s="148" t="n"/>
      <c r="AP42" s="148" t="n"/>
      <c r="AQ42" s="148" t="n"/>
    </row>
    <row r="43" ht="17" customHeight="1" s="83">
      <c r="A43" s="142" t="inlineStr">
        <is>
          <t>士林門市</t>
        </is>
      </c>
      <c r="B43" s="143" t="n"/>
      <c r="C43" s="143" t="n"/>
      <c r="D43" s="143" t="n"/>
      <c r="E43" s="143" t="n"/>
      <c r="F43" s="143" t="n"/>
      <c r="G43" s="144">
        <f>IF(B43=0,0,C43/B43)</f>
        <v/>
      </c>
      <c r="H43" s="144">
        <f>IF(B43=0,0,D43/B43)</f>
        <v/>
      </c>
      <c r="I43" s="143" t="n"/>
      <c r="J43" s="143" t="n"/>
      <c r="K43" s="143" t="n"/>
      <c r="L43" s="143" t="n"/>
      <c r="M43" s="143" t="n"/>
      <c r="N43" s="144">
        <f>IF(I43=0,0,J43/I43)</f>
        <v/>
      </c>
      <c r="O43" s="144">
        <f>IF(I43=0,0,K43/I43)</f>
        <v/>
      </c>
      <c r="P43" s="143">
        <f>J43-C43</f>
        <v/>
      </c>
      <c r="Q43" s="143">
        <f>K43-D43</f>
        <v/>
      </c>
      <c r="R43" s="143">
        <f>L43-E43</f>
        <v/>
      </c>
      <c r="S43" s="143">
        <f>M43-F43</f>
        <v/>
      </c>
      <c r="T43" s="148" t="n"/>
      <c r="U43" s="148" t="n"/>
      <c r="V43" s="148" t="n"/>
      <c r="W43" s="148" t="n"/>
      <c r="X43" s="148" t="n"/>
      <c r="Y43" s="148" t="n"/>
      <c r="Z43" s="148" t="n"/>
      <c r="AA43" s="148" t="n"/>
      <c r="AB43" s="148" t="n"/>
      <c r="AC43" s="148" t="n"/>
      <c r="AD43" s="148" t="n"/>
      <c r="AE43" s="148" t="n"/>
      <c r="AF43" s="148" t="n"/>
      <c r="AG43" s="148" t="n"/>
      <c r="AH43" s="148" t="n"/>
      <c r="AI43" s="148" t="n"/>
      <c r="AJ43" s="148" t="n"/>
      <c r="AK43" s="148" t="n"/>
      <c r="AL43" s="148" t="n"/>
      <c r="AM43" s="148" t="n"/>
      <c r="AN43" s="148" t="n"/>
      <c r="AO43" s="148" t="n"/>
      <c r="AP43" s="148" t="n"/>
      <c r="AQ43" s="148" t="n"/>
    </row>
    <row r="44" ht="17" customHeight="1" s="83">
      <c r="A44" s="142" t="inlineStr">
        <is>
          <t>微風門市</t>
        </is>
      </c>
      <c r="B44" s="143" t="n"/>
      <c r="C44" s="143" t="n"/>
      <c r="D44" s="143" t="n"/>
      <c r="E44" s="143" t="n"/>
      <c r="F44" s="143" t="n"/>
      <c r="G44" s="144">
        <f>IF(B44=0,0,C44/B44)</f>
        <v/>
      </c>
      <c r="H44" s="144">
        <f>IF(B44=0,0,D44/B44)</f>
        <v/>
      </c>
      <c r="I44" s="143" t="n"/>
      <c r="J44" s="143" t="n"/>
      <c r="K44" s="143" t="n"/>
      <c r="L44" s="143" t="n"/>
      <c r="M44" s="143" t="n"/>
      <c r="N44" s="144">
        <f>IF(I44=0,0,J44/I44)</f>
        <v/>
      </c>
      <c r="O44" s="144">
        <f>IF(I44=0,0,K44/I44)</f>
        <v/>
      </c>
      <c r="P44" s="143">
        <f>J44-C44</f>
        <v/>
      </c>
      <c r="Q44" s="143">
        <f>K44-D44</f>
        <v/>
      </c>
      <c r="R44" s="143">
        <f>L44-E44</f>
        <v/>
      </c>
      <c r="S44" s="143">
        <f>M44-F44</f>
        <v/>
      </c>
      <c r="T44" s="148" t="n"/>
      <c r="U44" s="148" t="n"/>
      <c r="V44" s="148" t="n"/>
      <c r="W44" s="148" t="n"/>
      <c r="X44" s="148" t="n"/>
      <c r="Y44" s="148" t="n"/>
      <c r="Z44" s="148" t="n"/>
      <c r="AA44" s="148" t="n"/>
      <c r="AB44" s="148" t="n"/>
      <c r="AC44" s="148" t="n"/>
      <c r="AD44" s="148" t="n"/>
      <c r="AE44" s="148" t="n"/>
      <c r="AF44" s="148" t="n"/>
      <c r="AG44" s="148" t="n"/>
      <c r="AH44" s="148" t="n"/>
      <c r="AI44" s="148" t="n"/>
      <c r="AJ44" s="148" t="n"/>
      <c r="AK44" s="148" t="n"/>
      <c r="AL44" s="148" t="n"/>
      <c r="AM44" s="148" t="n"/>
      <c r="AN44" s="148" t="n"/>
      <c r="AO44" s="148" t="n"/>
      <c r="AP44" s="148" t="n"/>
      <c r="AQ44" s="148" t="n"/>
    </row>
    <row r="45" ht="17" customHeight="1" s="83">
      <c r="A45" s="142" t="inlineStr">
        <is>
          <t>美麗華門市</t>
        </is>
      </c>
      <c r="B45" s="143" t="n"/>
      <c r="C45" s="143" t="n"/>
      <c r="D45" s="143" t="n"/>
      <c r="E45" s="143" t="n"/>
      <c r="F45" s="143" t="n"/>
      <c r="G45" s="144">
        <f>IF(B45=0,0,C45/B45)</f>
        <v/>
      </c>
      <c r="H45" s="144">
        <f>IF(B45=0,0,D45/B45)</f>
        <v/>
      </c>
      <c r="I45" s="143" t="n"/>
      <c r="J45" s="143" t="n"/>
      <c r="K45" s="143" t="n"/>
      <c r="L45" s="143" t="n"/>
      <c r="M45" s="143" t="n"/>
      <c r="N45" s="144">
        <f>IF(I45=0,0,J45/I45)</f>
        <v/>
      </c>
      <c r="O45" s="144">
        <f>IF(I45=0,0,K45/I45)</f>
        <v/>
      </c>
      <c r="P45" s="143">
        <f>J45-C45</f>
        <v/>
      </c>
      <c r="Q45" s="143">
        <f>K45-D45</f>
        <v/>
      </c>
      <c r="R45" s="143">
        <f>L45-E45</f>
        <v/>
      </c>
      <c r="S45" s="143">
        <f>M45-F45</f>
        <v/>
      </c>
      <c r="T45" s="148" t="n"/>
      <c r="U45" s="148" t="n"/>
      <c r="V45" s="148" t="n"/>
      <c r="W45" s="148" t="n"/>
      <c r="X45" s="148" t="n"/>
      <c r="Y45" s="148" t="n"/>
      <c r="Z45" s="148" t="n"/>
      <c r="AA45" s="148" t="n"/>
      <c r="AB45" s="148" t="n"/>
      <c r="AC45" s="148" t="n"/>
      <c r="AD45" s="148" t="n"/>
      <c r="AE45" s="148" t="n"/>
      <c r="AF45" s="148" t="n"/>
      <c r="AG45" s="148" t="n"/>
      <c r="AH45" s="148" t="n"/>
      <c r="AI45" s="148" t="n"/>
      <c r="AJ45" s="148" t="n"/>
      <c r="AK45" s="148" t="n"/>
      <c r="AL45" s="148" t="n"/>
      <c r="AM45" s="148" t="n"/>
      <c r="AN45" s="148" t="n"/>
      <c r="AO45" s="148" t="n"/>
      <c r="AP45" s="148" t="n"/>
      <c r="AQ45" s="148" t="n"/>
    </row>
    <row r="46" ht="17" customHeight="1" s="83">
      <c r="A46" s="142" t="inlineStr">
        <is>
          <t>阿波羅門市</t>
        </is>
      </c>
      <c r="B46" s="143" t="n"/>
      <c r="C46" s="143" t="n"/>
      <c r="D46" s="143" t="n"/>
      <c r="E46" s="143" t="n"/>
      <c r="F46" s="143" t="n"/>
      <c r="G46" s="144">
        <f>IF(B46=0,0,C46/B46)</f>
        <v/>
      </c>
      <c r="H46" s="144">
        <f>IF(B46=0,0,D46/B46)</f>
        <v/>
      </c>
      <c r="I46" s="143" t="n"/>
      <c r="J46" s="143" t="n"/>
      <c r="K46" s="143" t="n"/>
      <c r="L46" s="143" t="n"/>
      <c r="M46" s="143" t="n"/>
      <c r="N46" s="144">
        <f>IF(I46=0,0,J46/I46)</f>
        <v/>
      </c>
      <c r="O46" s="144">
        <f>IF(I46=0,0,K46/I46)</f>
        <v/>
      </c>
      <c r="P46" s="143">
        <f>J46-C46</f>
        <v/>
      </c>
      <c r="Q46" s="143">
        <f>K46-D46</f>
        <v/>
      </c>
      <c r="R46" s="143">
        <f>L46-E46</f>
        <v/>
      </c>
      <c r="S46" s="143">
        <f>M46-F46</f>
        <v/>
      </c>
      <c r="T46" s="148" t="n"/>
      <c r="U46" s="148" t="n"/>
      <c r="V46" s="148" t="n"/>
      <c r="W46" s="148" t="n"/>
      <c r="X46" s="148" t="n"/>
      <c r="Y46" s="148" t="n"/>
      <c r="Z46" s="148" t="n"/>
      <c r="AA46" s="148" t="n"/>
      <c r="AB46" s="148" t="n"/>
      <c r="AC46" s="148" t="n"/>
      <c r="AD46" s="148" t="n"/>
      <c r="AE46" s="148" t="n"/>
      <c r="AF46" s="148" t="n"/>
      <c r="AG46" s="148" t="n"/>
      <c r="AH46" s="148" t="n"/>
      <c r="AI46" s="148" t="n"/>
      <c r="AJ46" s="148" t="n"/>
      <c r="AK46" s="148" t="n"/>
      <c r="AL46" s="148" t="n"/>
      <c r="AM46" s="148" t="n"/>
      <c r="AN46" s="148" t="n"/>
      <c r="AO46" s="148" t="n"/>
      <c r="AP46" s="148" t="n"/>
      <c r="AQ46" s="148" t="n"/>
    </row>
    <row r="47" ht="17" customHeight="1" s="83">
      <c r="A47" s="142" t="inlineStr">
        <is>
          <t>大葉高島屋門市</t>
        </is>
      </c>
      <c r="B47" s="143" t="n"/>
      <c r="C47" s="143" t="n"/>
      <c r="D47" s="143" t="n"/>
      <c r="E47" s="143" t="n"/>
      <c r="F47" s="143" t="n"/>
      <c r="G47" s="144">
        <f>IF(B47=0,0,C47/B47)</f>
        <v/>
      </c>
      <c r="H47" s="144">
        <f>IF(B47=0,0,D47/B47)</f>
        <v/>
      </c>
      <c r="I47" s="143" t="n"/>
      <c r="J47" s="143" t="n"/>
      <c r="K47" s="143" t="n"/>
      <c r="L47" s="143" t="n"/>
      <c r="M47" s="143" t="n"/>
      <c r="N47" s="144">
        <f>IF(I47=0,0,J47/I47)</f>
        <v/>
      </c>
      <c r="O47" s="144">
        <f>IF(I47=0,0,K47/I47)</f>
        <v/>
      </c>
      <c r="P47" s="143">
        <f>J47-C47</f>
        <v/>
      </c>
      <c r="Q47" s="143">
        <f>K47-D47</f>
        <v/>
      </c>
      <c r="R47" s="143">
        <f>L47-E47</f>
        <v/>
      </c>
      <c r="S47" s="143">
        <f>M47-F47</f>
        <v/>
      </c>
      <c r="T47" s="148" t="n"/>
      <c r="U47" s="148" t="n"/>
      <c r="V47" s="148" t="n"/>
      <c r="W47" s="148" t="n"/>
      <c r="X47" s="148" t="n"/>
      <c r="Y47" s="148" t="n"/>
      <c r="Z47" s="148" t="n"/>
      <c r="AA47" s="148" t="n"/>
      <c r="AB47" s="148" t="n"/>
      <c r="AC47" s="148" t="n"/>
      <c r="AD47" s="148" t="n"/>
      <c r="AE47" s="148" t="n"/>
      <c r="AF47" s="148" t="n"/>
      <c r="AG47" s="148" t="n"/>
      <c r="AH47" s="148" t="n"/>
      <c r="AI47" s="148" t="n"/>
      <c r="AJ47" s="148" t="n"/>
      <c r="AK47" s="148" t="n"/>
      <c r="AL47" s="148" t="n"/>
      <c r="AM47" s="148" t="n"/>
      <c r="AN47" s="148" t="n"/>
      <c r="AO47" s="148" t="n"/>
      <c r="AP47" s="148" t="n"/>
      <c r="AQ47" s="148" t="n"/>
    </row>
    <row r="48" ht="17" customHeight="1" s="83">
      <c r="A48" s="142" t="inlineStr">
        <is>
          <t>羅東門市</t>
        </is>
      </c>
      <c r="B48" s="143" t="n"/>
      <c r="C48" s="143" t="n"/>
      <c r="D48" s="143" t="n"/>
      <c r="E48" s="143" t="n"/>
      <c r="F48" s="143" t="n"/>
      <c r="G48" s="144">
        <f>IF(B48=0,0,C48/B48)</f>
        <v/>
      </c>
      <c r="H48" s="144">
        <f>IF(B48=0,0,D48/B48)</f>
        <v/>
      </c>
      <c r="I48" s="143" t="n"/>
      <c r="J48" s="143" t="n"/>
      <c r="K48" s="143" t="n"/>
      <c r="L48" s="143" t="n"/>
      <c r="M48" s="143" t="n"/>
      <c r="N48" s="144">
        <f>IF(I48=0,0,J48/I48)</f>
        <v/>
      </c>
      <c r="O48" s="144">
        <f>IF(I48=0,0,K48/I48)</f>
        <v/>
      </c>
      <c r="P48" s="143">
        <f>J48-C48</f>
        <v/>
      </c>
      <c r="Q48" s="143">
        <f>K48-D48</f>
        <v/>
      </c>
      <c r="R48" s="143">
        <f>L48-E48</f>
        <v/>
      </c>
      <c r="S48" s="143">
        <f>M48-F48</f>
        <v/>
      </c>
      <c r="T48" s="148" t="n"/>
      <c r="U48" s="148" t="n"/>
      <c r="V48" s="148" t="n"/>
      <c r="W48" s="148" t="n"/>
      <c r="X48" s="148" t="n"/>
      <c r="Y48" s="148" t="n"/>
      <c r="Z48" s="148" t="n"/>
      <c r="AA48" s="148" t="n"/>
      <c r="AB48" s="148" t="n"/>
      <c r="AC48" s="148" t="n"/>
      <c r="AD48" s="148" t="n"/>
      <c r="AE48" s="148" t="n"/>
      <c r="AF48" s="148" t="n"/>
      <c r="AG48" s="148" t="n"/>
      <c r="AH48" s="148" t="n"/>
      <c r="AI48" s="148" t="n"/>
      <c r="AJ48" s="148" t="n"/>
      <c r="AK48" s="148" t="n"/>
      <c r="AL48" s="148" t="n"/>
      <c r="AM48" s="148" t="n"/>
      <c r="AN48" s="148" t="n"/>
      <c r="AO48" s="148" t="n"/>
      <c r="AP48" s="148" t="n"/>
      <c r="AQ48" s="148" t="n"/>
    </row>
    <row r="49" ht="17" customHeight="1" s="83">
      <c r="A49" s="145" t="inlineStr">
        <is>
          <t>Total</t>
        </is>
      </c>
      <c r="B49" s="146">
        <f>SUM(B43:B48)</f>
        <v/>
      </c>
      <c r="C49" s="146">
        <f>SUM(C43:C48)</f>
        <v/>
      </c>
      <c r="D49" s="146">
        <f>SUM(D43:D48)</f>
        <v/>
      </c>
      <c r="E49" s="146">
        <f>SUM(E43:E48)</f>
        <v/>
      </c>
      <c r="F49" s="146">
        <f>SUM(F43:F48)</f>
        <v/>
      </c>
      <c r="G49" s="147">
        <f>IF(B49=0,0,C49/B49)</f>
        <v/>
      </c>
      <c r="H49" s="147">
        <f>IF(B49=0,0,D49/B49)</f>
        <v/>
      </c>
      <c r="I49" s="146">
        <f>SUM(I43:I48)</f>
        <v/>
      </c>
      <c r="J49" s="146">
        <f>SUM(J43:J48)</f>
        <v/>
      </c>
      <c r="K49" s="146">
        <f>SUM(K43:K48)</f>
        <v/>
      </c>
      <c r="L49" s="146">
        <f>SUM(L43:L48)</f>
        <v/>
      </c>
      <c r="M49" s="146">
        <f>SUM(M43:M48)</f>
        <v/>
      </c>
      <c r="N49" s="147">
        <f>IF(I49=0,0,J49/I49)</f>
        <v/>
      </c>
      <c r="O49" s="147">
        <f>IF(I49=0,0,K49/I49)</f>
        <v/>
      </c>
      <c r="P49" s="146">
        <f>J49-C49</f>
        <v/>
      </c>
      <c r="Q49" s="146">
        <f>K49-D49</f>
        <v/>
      </c>
      <c r="R49" s="146">
        <f>L49-E49</f>
        <v/>
      </c>
      <c r="S49" s="146">
        <f>M49-F49</f>
        <v/>
      </c>
      <c r="T49" s="148" t="n"/>
      <c r="U49" s="148" t="n"/>
      <c r="V49" s="148" t="n"/>
      <c r="W49" s="148" t="n"/>
      <c r="X49" s="148" t="n"/>
      <c r="Y49" s="148" t="n"/>
      <c r="Z49" s="148" t="n"/>
      <c r="AA49" s="148" t="n"/>
      <c r="AB49" s="148" t="n"/>
      <c r="AC49" s="148" t="n"/>
      <c r="AD49" s="148" t="n"/>
      <c r="AE49" s="148" t="n"/>
      <c r="AF49" s="148" t="n"/>
      <c r="AG49" s="148" t="n"/>
      <c r="AH49" s="148" t="n"/>
      <c r="AI49" s="148" t="n"/>
      <c r="AJ49" s="148" t="n"/>
      <c r="AK49" s="148" t="n"/>
      <c r="AL49" s="148" t="n"/>
      <c r="AM49" s="148" t="n"/>
      <c r="AN49" s="148" t="n"/>
      <c r="AO49" s="148" t="n"/>
      <c r="AP49" s="148" t="n"/>
      <c r="AQ49" s="148" t="n"/>
    </row>
    <row r="51" ht="20" customHeight="1" s="83">
      <c r="A51" s="136" t="inlineStr">
        <is>
          <t>CPU 配件</t>
        </is>
      </c>
      <c r="B51" s="137" t="inlineStr">
        <is>
          <t>上週</t>
        </is>
      </c>
      <c r="C51" s="138" t="n"/>
      <c r="D51" s="138" t="n"/>
      <c r="E51" s="138" t="n"/>
      <c r="F51" s="138" t="n"/>
      <c r="G51" s="138" t="n"/>
      <c r="H51" s="138" t="n"/>
      <c r="I51" s="138" t="n"/>
      <c r="J51" s="138" t="n"/>
      <c r="K51" s="138" t="n"/>
      <c r="L51" s="138" t="n"/>
      <c r="M51" s="138" t="n"/>
      <c r="N51" s="138" t="n"/>
      <c r="O51" s="138" t="n"/>
      <c r="P51" s="138" t="n"/>
      <c r="Q51" s="139" t="n"/>
      <c r="R51" s="137" t="inlineStr">
        <is>
          <t>本週</t>
        </is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  <c r="AC51" s="138" t="n"/>
      <c r="AD51" s="138" t="n"/>
      <c r="AE51" s="138" t="n"/>
      <c r="AF51" s="138" t="n"/>
      <c r="AG51" s="139" t="n"/>
      <c r="AH51" s="140" t="inlineStr">
        <is>
          <t>差異數量</t>
        </is>
      </c>
      <c r="AI51" s="138" t="n"/>
      <c r="AJ51" s="138" t="n"/>
      <c r="AK51" s="138" t="n"/>
      <c r="AL51" s="139" t="n"/>
      <c r="AM51" s="140" t="inlineStr">
        <is>
          <t>差異金額</t>
        </is>
      </c>
      <c r="AN51" s="138" t="n"/>
      <c r="AO51" s="138" t="n"/>
      <c r="AP51" s="138" t="n"/>
      <c r="AQ51" s="139" t="n"/>
    </row>
    <row r="52" ht="17" customHeight="1" s="83">
      <c r="A52" s="141" t="n"/>
      <c r="B52" s="140" t="inlineStr">
        <is>
          <t>Mac台數</t>
        </is>
      </c>
      <c r="C52" s="140" t="inlineStr">
        <is>
          <t>保貼數量</t>
        </is>
      </c>
      <c r="D52" s="140" t="inlineStr">
        <is>
          <t>電腦包數量</t>
        </is>
      </c>
      <c r="E52" s="140" t="inlineStr">
        <is>
          <t>鍵盤膜數量</t>
        </is>
      </c>
      <c r="F52" s="140" t="inlineStr">
        <is>
          <t>轉接器數量</t>
        </is>
      </c>
      <c r="G52" s="140" t="inlineStr">
        <is>
          <t>Office數量</t>
        </is>
      </c>
      <c r="H52" s="140" t="inlineStr">
        <is>
          <t>保貼金額</t>
        </is>
      </c>
      <c r="I52" s="140" t="inlineStr">
        <is>
          <t>電腦包金額</t>
        </is>
      </c>
      <c r="J52" s="140" t="inlineStr">
        <is>
          <t>鍵盤膜金額</t>
        </is>
      </c>
      <c r="K52" s="140" t="inlineStr">
        <is>
          <t>轉接器金額</t>
        </is>
      </c>
      <c r="L52" s="140" t="inlineStr">
        <is>
          <t>Office金額</t>
        </is>
      </c>
      <c r="M52" s="140" t="inlineStr">
        <is>
          <t>保貼佔比</t>
        </is>
      </c>
      <c r="N52" s="140" t="inlineStr">
        <is>
          <t>電腦包佔比</t>
        </is>
      </c>
      <c r="O52" s="140" t="inlineStr">
        <is>
          <t>鍵盤膜佔比</t>
        </is>
      </c>
      <c r="P52" s="140" t="inlineStr">
        <is>
          <t>轉接器佔比</t>
        </is>
      </c>
      <c r="Q52" s="140" t="inlineStr">
        <is>
          <t>Office佔比</t>
        </is>
      </c>
      <c r="R52" s="140" t="inlineStr">
        <is>
          <t>Mac台數</t>
        </is>
      </c>
      <c r="S52" s="140" t="inlineStr">
        <is>
          <t>保貼數量</t>
        </is>
      </c>
      <c r="T52" s="140" t="inlineStr">
        <is>
          <t>電腦包數量</t>
        </is>
      </c>
      <c r="U52" s="140" t="inlineStr">
        <is>
          <t>鍵盤膜數量</t>
        </is>
      </c>
      <c r="V52" s="140" t="inlineStr">
        <is>
          <t>轉接器數量</t>
        </is>
      </c>
      <c r="W52" s="140" t="inlineStr">
        <is>
          <t>Office數量</t>
        </is>
      </c>
      <c r="X52" s="140" t="inlineStr">
        <is>
          <t>保貼金額</t>
        </is>
      </c>
      <c r="Y52" s="140" t="inlineStr">
        <is>
          <t>電腦包金額</t>
        </is>
      </c>
      <c r="Z52" s="140" t="inlineStr">
        <is>
          <t>鍵盤膜金額</t>
        </is>
      </c>
      <c r="AA52" s="140" t="inlineStr">
        <is>
          <t>轉接器金額</t>
        </is>
      </c>
      <c r="AB52" s="140" t="inlineStr">
        <is>
          <t>Office金額</t>
        </is>
      </c>
      <c r="AC52" s="140" t="inlineStr">
        <is>
          <t>保貼佔比</t>
        </is>
      </c>
      <c r="AD52" s="140" t="inlineStr">
        <is>
          <t>電腦包佔比</t>
        </is>
      </c>
      <c r="AE52" s="140" t="inlineStr">
        <is>
          <t>鍵盤膜佔比</t>
        </is>
      </c>
      <c r="AF52" s="140" t="inlineStr">
        <is>
          <t>轉接器佔比</t>
        </is>
      </c>
      <c r="AG52" s="140" t="inlineStr">
        <is>
          <t>Office佔比</t>
        </is>
      </c>
      <c r="AH52" s="140" t="inlineStr">
        <is>
          <t>保貼</t>
        </is>
      </c>
      <c r="AI52" s="140" t="inlineStr">
        <is>
          <t>電腦包</t>
        </is>
      </c>
      <c r="AJ52" s="140" t="inlineStr">
        <is>
          <t>鍵盤膜</t>
        </is>
      </c>
      <c r="AK52" s="140" t="inlineStr">
        <is>
          <t>轉接器</t>
        </is>
      </c>
      <c r="AL52" s="140" t="inlineStr">
        <is>
          <t>Office</t>
        </is>
      </c>
      <c r="AM52" s="140" t="inlineStr">
        <is>
          <t>保貼</t>
        </is>
      </c>
      <c r="AN52" s="140" t="inlineStr">
        <is>
          <t>電腦包</t>
        </is>
      </c>
      <c r="AO52" s="140" t="inlineStr">
        <is>
          <t>鍵盤膜</t>
        </is>
      </c>
      <c r="AP52" s="140" t="inlineStr">
        <is>
          <t>轉接器</t>
        </is>
      </c>
      <c r="AQ52" s="140" t="inlineStr">
        <is>
          <t>Office</t>
        </is>
      </c>
    </row>
    <row r="53" ht="17" customHeight="1" s="83">
      <c r="A53" s="142" t="inlineStr">
        <is>
          <t>士林門市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4">
        <f>IF(B53=0,0,C53/B53)</f>
        <v/>
      </c>
      <c r="N53" s="144">
        <f>IF(B53=0,0,D53/B53)</f>
        <v/>
      </c>
      <c r="O53" s="144">
        <f>IF(B53=0,0,E53/B53)</f>
        <v/>
      </c>
      <c r="P53" s="144">
        <f>IF(B53=0,0,F53/B53)</f>
        <v/>
      </c>
      <c r="Q53" s="144">
        <f>IF(B53=0,0,G53/B53)</f>
        <v/>
      </c>
      <c r="R53" s="143" t="n"/>
      <c r="S53" s="143" t="n"/>
      <c r="T53" s="143" t="n"/>
      <c r="U53" s="143" t="n"/>
      <c r="V53" s="143" t="n"/>
      <c r="W53" s="143" t="n"/>
      <c r="X53" s="143" t="n"/>
      <c r="Y53" s="143" t="n"/>
      <c r="Z53" s="143" t="n"/>
      <c r="AA53" s="143" t="n"/>
      <c r="AB53" s="143" t="n"/>
      <c r="AC53" s="144">
        <f>IF(R53=0,0,S53/R53)</f>
        <v/>
      </c>
      <c r="AD53" s="144">
        <f>IF(R53=0,0,T53/R53)</f>
        <v/>
      </c>
      <c r="AE53" s="144">
        <f>IF(R53=0,0,U53/R53)</f>
        <v/>
      </c>
      <c r="AF53" s="144">
        <f>IF(R53=0,0,V53/R53)</f>
        <v/>
      </c>
      <c r="AG53" s="144">
        <f>IF(R53=0,0,W53/R53)</f>
        <v/>
      </c>
      <c r="AH53" s="143">
        <f>S53-C53</f>
        <v/>
      </c>
      <c r="AI53" s="143">
        <f>T53-D53</f>
        <v/>
      </c>
      <c r="AJ53" s="143">
        <f>U53-E53</f>
        <v/>
      </c>
      <c r="AK53" s="143">
        <f>V53-F53</f>
        <v/>
      </c>
      <c r="AL53" s="143">
        <f>W53-G53</f>
        <v/>
      </c>
      <c r="AM53" s="143">
        <f>X53-H53</f>
        <v/>
      </c>
      <c r="AN53" s="143">
        <f>Y53-I53</f>
        <v/>
      </c>
      <c r="AO53" s="143">
        <f>Z53-J53</f>
        <v/>
      </c>
      <c r="AP53" s="143">
        <f>AA53-K53</f>
        <v/>
      </c>
      <c r="AQ53" s="143">
        <f>AB53-L53</f>
        <v/>
      </c>
    </row>
    <row r="54" ht="17" customHeight="1" s="83">
      <c r="A54" s="142" t="inlineStr">
        <is>
          <t>微風門市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4">
        <f>IF(B54=0,0,C54/B54)</f>
        <v/>
      </c>
      <c r="N54" s="144">
        <f>IF(B54=0,0,D54/B54)</f>
        <v/>
      </c>
      <c r="O54" s="144">
        <f>IF(B54=0,0,E54/B54)</f>
        <v/>
      </c>
      <c r="P54" s="144">
        <f>IF(B54=0,0,F54/B54)</f>
        <v/>
      </c>
      <c r="Q54" s="144">
        <f>IF(B54=0,0,G54/B54)</f>
        <v/>
      </c>
      <c r="R54" s="143" t="n"/>
      <c r="S54" s="143" t="n"/>
      <c r="T54" s="143" t="n"/>
      <c r="U54" s="143" t="n"/>
      <c r="V54" s="143" t="n"/>
      <c r="W54" s="143" t="n"/>
      <c r="X54" s="143" t="n"/>
      <c r="Y54" s="143" t="n"/>
      <c r="Z54" s="143" t="n"/>
      <c r="AA54" s="143" t="n"/>
      <c r="AB54" s="143" t="n"/>
      <c r="AC54" s="144">
        <f>IF(R54=0,0,S54/R54)</f>
        <v/>
      </c>
      <c r="AD54" s="144">
        <f>IF(R54=0,0,T54/R54)</f>
        <v/>
      </c>
      <c r="AE54" s="144">
        <f>IF(R54=0,0,U54/R54)</f>
        <v/>
      </c>
      <c r="AF54" s="144">
        <f>IF(R54=0,0,V54/R54)</f>
        <v/>
      </c>
      <c r="AG54" s="144">
        <f>IF(R54=0,0,W54/R54)</f>
        <v/>
      </c>
      <c r="AH54" s="143">
        <f>S54-C54</f>
        <v/>
      </c>
      <c r="AI54" s="143">
        <f>T54-D54</f>
        <v/>
      </c>
      <c r="AJ54" s="143">
        <f>U54-E54</f>
        <v/>
      </c>
      <c r="AK54" s="143">
        <f>V54-F54</f>
        <v/>
      </c>
      <c r="AL54" s="143">
        <f>W54-G54</f>
        <v/>
      </c>
      <c r="AM54" s="143">
        <f>X54-H54</f>
        <v/>
      </c>
      <c r="AN54" s="143">
        <f>Y54-I54</f>
        <v/>
      </c>
      <c r="AO54" s="143">
        <f>Z54-J54</f>
        <v/>
      </c>
      <c r="AP54" s="143">
        <f>AA54-K54</f>
        <v/>
      </c>
      <c r="AQ54" s="143">
        <f>AB54-L54</f>
        <v/>
      </c>
    </row>
    <row r="55" ht="17" customHeight="1" s="83">
      <c r="A55" s="142" t="inlineStr">
        <is>
          <t>美麗華門市</t>
        </is>
      </c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4">
        <f>IF(B55=0,0,C55/B55)</f>
        <v/>
      </c>
      <c r="N55" s="144">
        <f>IF(B55=0,0,D55/B55)</f>
        <v/>
      </c>
      <c r="O55" s="144">
        <f>IF(B55=0,0,E55/B55)</f>
        <v/>
      </c>
      <c r="P55" s="144">
        <f>IF(B55=0,0,F55/B55)</f>
        <v/>
      </c>
      <c r="Q55" s="144">
        <f>IF(B55=0,0,G55/B55)</f>
        <v/>
      </c>
      <c r="R55" s="143" t="n"/>
      <c r="S55" s="143" t="n"/>
      <c r="T55" s="143" t="n"/>
      <c r="U55" s="143" t="n"/>
      <c r="V55" s="143" t="n"/>
      <c r="W55" s="143" t="n"/>
      <c r="X55" s="143" t="n"/>
      <c r="Y55" s="143" t="n"/>
      <c r="Z55" s="143" t="n"/>
      <c r="AA55" s="143" t="n"/>
      <c r="AB55" s="143" t="n"/>
      <c r="AC55" s="144">
        <f>IF(R55=0,0,S55/R55)</f>
        <v/>
      </c>
      <c r="AD55" s="144">
        <f>IF(R55=0,0,T55/R55)</f>
        <v/>
      </c>
      <c r="AE55" s="144">
        <f>IF(R55=0,0,U55/R55)</f>
        <v/>
      </c>
      <c r="AF55" s="144">
        <f>IF(R55=0,0,V55/R55)</f>
        <v/>
      </c>
      <c r="AG55" s="144">
        <f>IF(R55=0,0,W55/R55)</f>
        <v/>
      </c>
      <c r="AH55" s="143">
        <f>S55-C55</f>
        <v/>
      </c>
      <c r="AI55" s="143">
        <f>T55-D55</f>
        <v/>
      </c>
      <c r="AJ55" s="143">
        <f>U55-E55</f>
        <v/>
      </c>
      <c r="AK55" s="143">
        <f>V55-F55</f>
        <v/>
      </c>
      <c r="AL55" s="143">
        <f>W55-G55</f>
        <v/>
      </c>
      <c r="AM55" s="143">
        <f>X55-H55</f>
        <v/>
      </c>
      <c r="AN55" s="143">
        <f>Y55-I55</f>
        <v/>
      </c>
      <c r="AO55" s="143">
        <f>Z55-J55</f>
        <v/>
      </c>
      <c r="AP55" s="143">
        <f>AA55-K55</f>
        <v/>
      </c>
      <c r="AQ55" s="143">
        <f>AB55-L55</f>
        <v/>
      </c>
    </row>
    <row r="56" ht="17" customHeight="1" s="83">
      <c r="A56" s="142" t="inlineStr">
        <is>
          <t>阿波羅門市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4">
        <f>IF(B56=0,0,C56/B56)</f>
        <v/>
      </c>
      <c r="N56" s="144">
        <f>IF(B56=0,0,D56/B56)</f>
        <v/>
      </c>
      <c r="O56" s="144">
        <f>IF(B56=0,0,E56/B56)</f>
        <v/>
      </c>
      <c r="P56" s="144">
        <f>IF(B56=0,0,F56/B56)</f>
        <v/>
      </c>
      <c r="Q56" s="144">
        <f>IF(B56=0,0,G56/B56)</f>
        <v/>
      </c>
      <c r="R56" s="143" t="n"/>
      <c r="S56" s="143" t="n"/>
      <c r="T56" s="143" t="n"/>
      <c r="U56" s="143" t="n"/>
      <c r="V56" s="143" t="n"/>
      <c r="W56" s="143" t="n"/>
      <c r="X56" s="143" t="n"/>
      <c r="Y56" s="143" t="n"/>
      <c r="Z56" s="143" t="n"/>
      <c r="AA56" s="143" t="n"/>
      <c r="AB56" s="143" t="n"/>
      <c r="AC56" s="144">
        <f>IF(R56=0,0,S56/R56)</f>
        <v/>
      </c>
      <c r="AD56" s="144">
        <f>IF(R56=0,0,T56/R56)</f>
        <v/>
      </c>
      <c r="AE56" s="144">
        <f>IF(R56=0,0,U56/R56)</f>
        <v/>
      </c>
      <c r="AF56" s="144">
        <f>IF(R56=0,0,V56/R56)</f>
        <v/>
      </c>
      <c r="AG56" s="144">
        <f>IF(R56=0,0,W56/R56)</f>
        <v/>
      </c>
      <c r="AH56" s="143">
        <f>S56-C56</f>
        <v/>
      </c>
      <c r="AI56" s="143">
        <f>T56-D56</f>
        <v/>
      </c>
      <c r="AJ56" s="143">
        <f>U56-E56</f>
        <v/>
      </c>
      <c r="AK56" s="143">
        <f>V56-F56</f>
        <v/>
      </c>
      <c r="AL56" s="143">
        <f>W56-G56</f>
        <v/>
      </c>
      <c r="AM56" s="143">
        <f>X56-H56</f>
        <v/>
      </c>
      <c r="AN56" s="143">
        <f>Y56-I56</f>
        <v/>
      </c>
      <c r="AO56" s="143">
        <f>Z56-J56</f>
        <v/>
      </c>
      <c r="AP56" s="143">
        <f>AA56-K56</f>
        <v/>
      </c>
      <c r="AQ56" s="143">
        <f>AB56-L56</f>
        <v/>
      </c>
    </row>
    <row r="57" ht="17" customHeight="1" s="83">
      <c r="A57" s="142" t="inlineStr">
        <is>
          <t>大葉高島屋門市</t>
        </is>
      </c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4">
        <f>IF(B57=0,0,C57/B57)</f>
        <v/>
      </c>
      <c r="N57" s="144">
        <f>IF(B57=0,0,D57/B57)</f>
        <v/>
      </c>
      <c r="O57" s="144">
        <f>IF(B57=0,0,E57/B57)</f>
        <v/>
      </c>
      <c r="P57" s="144">
        <f>IF(B57=0,0,F57/B57)</f>
        <v/>
      </c>
      <c r="Q57" s="144">
        <f>IF(B57=0,0,G57/B57)</f>
        <v/>
      </c>
      <c r="R57" s="143" t="n"/>
      <c r="S57" s="143" t="n"/>
      <c r="T57" s="143" t="n"/>
      <c r="U57" s="143" t="n"/>
      <c r="V57" s="143" t="n"/>
      <c r="W57" s="143" t="n"/>
      <c r="X57" s="143" t="n"/>
      <c r="Y57" s="143" t="n"/>
      <c r="Z57" s="143" t="n"/>
      <c r="AA57" s="143" t="n"/>
      <c r="AB57" s="143" t="n"/>
      <c r="AC57" s="144">
        <f>IF(R57=0,0,S57/R57)</f>
        <v/>
      </c>
      <c r="AD57" s="144">
        <f>IF(R57=0,0,T57/R57)</f>
        <v/>
      </c>
      <c r="AE57" s="144">
        <f>IF(R57=0,0,U57/R57)</f>
        <v/>
      </c>
      <c r="AF57" s="144">
        <f>IF(R57=0,0,V57/R57)</f>
        <v/>
      </c>
      <c r="AG57" s="144">
        <f>IF(R57=0,0,W57/R57)</f>
        <v/>
      </c>
      <c r="AH57" s="143">
        <f>S57-C57</f>
        <v/>
      </c>
      <c r="AI57" s="143">
        <f>T57-D57</f>
        <v/>
      </c>
      <c r="AJ57" s="143">
        <f>U57-E57</f>
        <v/>
      </c>
      <c r="AK57" s="143">
        <f>V57-F57</f>
        <v/>
      </c>
      <c r="AL57" s="143">
        <f>W57-G57</f>
        <v/>
      </c>
      <c r="AM57" s="143">
        <f>X57-H57</f>
        <v/>
      </c>
      <c r="AN57" s="143">
        <f>Y57-I57</f>
        <v/>
      </c>
      <c r="AO57" s="143">
        <f>Z57-J57</f>
        <v/>
      </c>
      <c r="AP57" s="143">
        <f>AA57-K57</f>
        <v/>
      </c>
      <c r="AQ57" s="143">
        <f>AB57-L57</f>
        <v/>
      </c>
    </row>
    <row r="58" ht="17" customHeight="1" s="83">
      <c r="A58" s="142" t="inlineStr">
        <is>
          <t>羅東門市</t>
        </is>
      </c>
      <c r="B58" s="143" t="n"/>
      <c r="C58" s="143" t="n"/>
      <c r="D58" s="143" t="n"/>
      <c r="E58" s="143" t="n"/>
      <c r="F58" s="143" t="n"/>
      <c r="G58" s="143" t="n"/>
      <c r="H58" s="143" t="n"/>
      <c r="I58" s="143" t="n"/>
      <c r="J58" s="143" t="n"/>
      <c r="K58" s="143" t="n"/>
      <c r="L58" s="143" t="n"/>
      <c r="M58" s="144">
        <f>IF(B58=0,0,C58/B58)</f>
        <v/>
      </c>
      <c r="N58" s="144">
        <f>IF(B58=0,0,D58/B58)</f>
        <v/>
      </c>
      <c r="O58" s="144">
        <f>IF(B58=0,0,E58/B58)</f>
        <v/>
      </c>
      <c r="P58" s="144">
        <f>IF(B58=0,0,F58/B58)</f>
        <v/>
      </c>
      <c r="Q58" s="144">
        <f>IF(B58=0,0,G58/B58)</f>
        <v/>
      </c>
      <c r="R58" s="143" t="n"/>
      <c r="S58" s="143" t="n"/>
      <c r="T58" s="143" t="n"/>
      <c r="U58" s="143" t="n"/>
      <c r="V58" s="143" t="n"/>
      <c r="W58" s="143" t="n"/>
      <c r="X58" s="143" t="n"/>
      <c r="Y58" s="143" t="n"/>
      <c r="Z58" s="143" t="n"/>
      <c r="AA58" s="143" t="n"/>
      <c r="AB58" s="143" t="n"/>
      <c r="AC58" s="144">
        <f>IF(R58=0,0,S58/R58)</f>
        <v/>
      </c>
      <c r="AD58" s="144">
        <f>IF(R58=0,0,T58/R58)</f>
        <v/>
      </c>
      <c r="AE58" s="144">
        <f>IF(R58=0,0,U58/R58)</f>
        <v/>
      </c>
      <c r="AF58" s="144">
        <f>IF(R58=0,0,V58/R58)</f>
        <v/>
      </c>
      <c r="AG58" s="144">
        <f>IF(R58=0,0,W58/R58)</f>
        <v/>
      </c>
      <c r="AH58" s="143">
        <f>S58-C58</f>
        <v/>
      </c>
      <c r="AI58" s="143">
        <f>T58-D58</f>
        <v/>
      </c>
      <c r="AJ58" s="143">
        <f>U58-E58</f>
        <v/>
      </c>
      <c r="AK58" s="143">
        <f>V58-F58</f>
        <v/>
      </c>
      <c r="AL58" s="143">
        <f>W58-G58</f>
        <v/>
      </c>
      <c r="AM58" s="143">
        <f>X58-H58</f>
        <v/>
      </c>
      <c r="AN58" s="143">
        <f>Y58-I58</f>
        <v/>
      </c>
      <c r="AO58" s="143">
        <f>Z58-J58</f>
        <v/>
      </c>
      <c r="AP58" s="143">
        <f>AA58-K58</f>
        <v/>
      </c>
      <c r="AQ58" s="143">
        <f>AB58-L58</f>
        <v/>
      </c>
    </row>
    <row r="59" ht="17" customHeight="1" s="83">
      <c r="A59" s="145" t="inlineStr">
        <is>
          <t>Total</t>
        </is>
      </c>
      <c r="B59" s="146">
        <f>SUM(B53:B58)</f>
        <v/>
      </c>
      <c r="C59" s="146">
        <f>SUM(C53:C58)</f>
        <v/>
      </c>
      <c r="D59" s="146">
        <f>SUM(D53:D58)</f>
        <v/>
      </c>
      <c r="E59" s="146">
        <f>SUM(E53:E58)</f>
        <v/>
      </c>
      <c r="F59" s="146">
        <f>SUM(F53:F58)</f>
        <v/>
      </c>
      <c r="G59" s="146">
        <f>SUM(G53:G58)</f>
        <v/>
      </c>
      <c r="H59" s="146">
        <f>SUM(H53:H58)</f>
        <v/>
      </c>
      <c r="I59" s="146">
        <f>SUM(I53:I58)</f>
        <v/>
      </c>
      <c r="J59" s="146">
        <f>SUM(J53:J58)</f>
        <v/>
      </c>
      <c r="K59" s="146">
        <f>SUM(K53:K58)</f>
        <v/>
      </c>
      <c r="L59" s="146">
        <f>SUM(L53:L58)</f>
        <v/>
      </c>
      <c r="M59" s="147">
        <f>IF(B59=0,0,C59/B59)</f>
        <v/>
      </c>
      <c r="N59" s="147">
        <f>IF(B59=0,0,D59/B59)</f>
        <v/>
      </c>
      <c r="O59" s="147">
        <f>IF(B59=0,0,E59/B59)</f>
        <v/>
      </c>
      <c r="P59" s="147">
        <f>IF(B59=0,0,F59/B59)</f>
        <v/>
      </c>
      <c r="Q59" s="147">
        <f>IF(B59=0,0,G59/B59)</f>
        <v/>
      </c>
      <c r="R59" s="146">
        <f>SUM(R53:R58)</f>
        <v/>
      </c>
      <c r="S59" s="146">
        <f>SUM(S53:S58)</f>
        <v/>
      </c>
      <c r="T59" s="146">
        <f>SUM(T53:T58)</f>
        <v/>
      </c>
      <c r="U59" s="146">
        <f>SUM(U53:U58)</f>
        <v/>
      </c>
      <c r="V59" s="146">
        <f>SUM(V53:V58)</f>
        <v/>
      </c>
      <c r="W59" s="146">
        <f>SUM(W53:W58)</f>
        <v/>
      </c>
      <c r="X59" s="146">
        <f>SUM(X53:X58)</f>
        <v/>
      </c>
      <c r="Y59" s="146">
        <f>SUM(Y53:Y58)</f>
        <v/>
      </c>
      <c r="Z59" s="146">
        <f>SUM(Z53:Z58)</f>
        <v/>
      </c>
      <c r="AA59" s="146">
        <f>SUM(AA53:AA58)</f>
        <v/>
      </c>
      <c r="AB59" s="146">
        <f>SUM(AB53:AB58)</f>
        <v/>
      </c>
      <c r="AC59" s="147">
        <f>IF(R59=0,0,S59/R59)</f>
        <v/>
      </c>
      <c r="AD59" s="147">
        <f>IF(R59=0,0,T59/R59)</f>
        <v/>
      </c>
      <c r="AE59" s="147">
        <f>IF(R59=0,0,U59/R59)</f>
        <v/>
      </c>
      <c r="AF59" s="147">
        <f>IF(R59=0,0,V59/R59)</f>
        <v/>
      </c>
      <c r="AG59" s="147">
        <f>IF(R59=0,0,W59/R59)</f>
        <v/>
      </c>
      <c r="AH59" s="146">
        <f>S59-C59</f>
        <v/>
      </c>
      <c r="AI59" s="146">
        <f>T59-D59</f>
        <v/>
      </c>
      <c r="AJ59" s="146">
        <f>U59-E59</f>
        <v/>
      </c>
      <c r="AK59" s="146">
        <f>V59-F59</f>
        <v/>
      </c>
      <c r="AL59" s="146">
        <f>W59-G59</f>
        <v/>
      </c>
      <c r="AM59" s="146">
        <f>X59-H59</f>
        <v/>
      </c>
      <c r="AN59" s="146">
        <f>Y59-I59</f>
        <v/>
      </c>
      <c r="AO59" s="146">
        <f>Z59-J59</f>
        <v/>
      </c>
      <c r="AP59" s="146">
        <f>AA59-K59</f>
        <v/>
      </c>
      <c r="AQ59" s="146">
        <f>AB59-L59</f>
        <v/>
      </c>
    </row>
  </sheetData>
  <mergeCells count="24">
    <mergeCell ref="AM51:AQ51"/>
    <mergeCell ref="A51:A52"/>
    <mergeCell ref="A41:A42"/>
    <mergeCell ref="P41:Q41"/>
    <mergeCell ref="L21:U21"/>
    <mergeCell ref="B51:Q51"/>
    <mergeCell ref="B41:H41"/>
    <mergeCell ref="F11:I11"/>
    <mergeCell ref="A21:A22"/>
    <mergeCell ref="AH31:AL31"/>
    <mergeCell ref="B31:Q31"/>
    <mergeCell ref="B21:K21"/>
    <mergeCell ref="R31:AG31"/>
    <mergeCell ref="B11:E11"/>
    <mergeCell ref="AH51:AL51"/>
    <mergeCell ref="R41:S41"/>
    <mergeCell ref="V21:X21"/>
    <mergeCell ref="I41:O41"/>
    <mergeCell ref="AM31:AQ31"/>
    <mergeCell ref="Y21:AA21"/>
    <mergeCell ref="A31:A32"/>
    <mergeCell ref="A1:AA1"/>
    <mergeCell ref="R51:AG51"/>
    <mergeCell ref="A11:A12"/>
  </mergeCells>
  <conditionalFormatting sqref="D13:D18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H13:H18">
    <cfRule type="cellIs" priority="3" operator="greaterThan" dxfId="3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6" customWidth="1" style="83" min="1" max="1"/>
    <col width="13" customWidth="1" style="83" min="2" max="2"/>
    <col width="13" customWidth="1" style="83" min="3" max="3"/>
    <col width="13" customWidth="1" style="83" min="4" max="4"/>
    <col width="13" customWidth="1" style="83" min="5" max="5"/>
    <col width="13" customWidth="1" style="83" min="6" max="6"/>
    <col width="13" customWidth="1" style="83" min="7" max="7"/>
    <col width="13" customWidth="1" style="83" min="8" max="8"/>
  </cols>
  <sheetData>
    <row r="1" ht="24" customHeight="1" s="83">
      <c r="A1" s="149" t="n"/>
      <c r="B1" s="138" t="n"/>
      <c r="C1" s="138" t="n"/>
      <c r="D1" s="138" t="n"/>
      <c r="E1" s="138" t="n"/>
      <c r="F1" s="138" t="n"/>
      <c r="G1" s="138" t="n"/>
      <c r="H1" s="139" t="n"/>
    </row>
    <row r="2">
      <c r="A2" s="140" t="inlineStr">
        <is>
          <t>重點項目</t>
        </is>
      </c>
      <c r="B2" s="140" t="inlineStr">
        <is>
          <t>士林門市</t>
        </is>
      </c>
      <c r="C2" s="140" t="inlineStr">
        <is>
          <t>微風門市</t>
        </is>
      </c>
      <c r="D2" s="140" t="inlineStr">
        <is>
          <t>美麗華門市</t>
        </is>
      </c>
      <c r="E2" s="140" t="inlineStr">
        <is>
          <t>阿波羅門市</t>
        </is>
      </c>
      <c r="F2" s="140" t="inlineStr">
        <is>
          <t>大葉高島屋門市</t>
        </is>
      </c>
      <c r="G2" s="140" t="inlineStr">
        <is>
          <t>羅東門市</t>
        </is>
      </c>
      <c r="H2" s="140" t="inlineStr">
        <is>
          <t>北一區</t>
        </is>
      </c>
    </row>
    <row r="3" ht="20" customHeight="1" s="83">
      <c r="A3" s="150" t="inlineStr">
        <is>
          <t>CPU</t>
        </is>
      </c>
      <c r="B3" s="151">
        <f>IF(B24=0,0,B17/B24)</f>
        <v/>
      </c>
      <c r="C3" s="151">
        <f>IF(C24=0,0,C17/C24)</f>
        <v/>
      </c>
      <c r="D3" s="151">
        <f>IF(D24=0,0,D17/D24)</f>
        <v/>
      </c>
      <c r="E3" s="151">
        <f>IF(E24=0,0,E17/E24)</f>
        <v/>
      </c>
      <c r="F3" s="151">
        <f>IF(F24=0,0,F17/F24)</f>
        <v/>
      </c>
      <c r="G3" s="151">
        <f>IF(G24=0,0,G17/G24)</f>
        <v/>
      </c>
      <c r="H3" s="151">
        <f>IF(H24=0,0,H17/H24)</f>
        <v/>
      </c>
    </row>
    <row r="4" ht="20" customHeight="1" s="83">
      <c r="A4" s="150" t="inlineStr">
        <is>
          <t>iPad</t>
        </is>
      </c>
      <c r="B4" s="151">
        <f>IF(B25=0,0,B18/B25)</f>
        <v/>
      </c>
      <c r="C4" s="151">
        <f>IF(C25=0,0,C18/C25)</f>
        <v/>
      </c>
      <c r="D4" s="151">
        <f>IF(D25=0,0,D18/D25)</f>
        <v/>
      </c>
      <c r="E4" s="151">
        <f>IF(E25=0,0,E18/E25)</f>
        <v/>
      </c>
      <c r="F4" s="151">
        <f>IF(F25=0,0,F18/F25)</f>
        <v/>
      </c>
      <c r="G4" s="151">
        <f>IF(G25=0,0,G18/G25)</f>
        <v/>
      </c>
      <c r="H4" s="151">
        <f>IF(H25=0,0,H18/H25)</f>
        <v/>
      </c>
    </row>
    <row r="5" ht="20" customHeight="1" s="83">
      <c r="A5" s="150" t="inlineStr">
        <is>
          <t>iPhone</t>
        </is>
      </c>
      <c r="B5" s="151">
        <f>IF(B26=0,0,B19/B26)</f>
        <v/>
      </c>
      <c r="C5" s="151">
        <f>IF(C26=0,0,C19/C26)</f>
        <v/>
      </c>
      <c r="D5" s="151">
        <f>IF(D26=0,0,D19/D26)</f>
        <v/>
      </c>
      <c r="E5" s="151">
        <f>IF(E26=0,0,E19/E26)</f>
        <v/>
      </c>
      <c r="F5" s="151">
        <f>IF(F26=0,0,F19/F26)</f>
        <v/>
      </c>
      <c r="G5" s="151">
        <f>IF(G26=0,0,G19/G26)</f>
        <v/>
      </c>
      <c r="H5" s="151">
        <f>IF(H26=0,0,H19/H26)</f>
        <v/>
      </c>
    </row>
    <row r="6" ht="20" customHeight="1" s="83">
      <c r="A6" s="150" t="inlineStr">
        <is>
          <t>Watch</t>
        </is>
      </c>
      <c r="B6" s="151">
        <f>IF(B27=0,0,B20/B27)</f>
        <v/>
      </c>
      <c r="C6" s="151">
        <f>IF(C27=0,0,C20/C27)</f>
        <v/>
      </c>
      <c r="D6" s="151">
        <f>IF(D27=0,0,D20/D27)</f>
        <v/>
      </c>
      <c r="E6" s="151">
        <f>IF(E27=0,0,E20/E27)</f>
        <v/>
      </c>
      <c r="F6" s="151">
        <f>IF(F27=0,0,F20/F27)</f>
        <v/>
      </c>
      <c r="G6" s="151">
        <f>IF(G27=0,0,G20/G27)</f>
        <v/>
      </c>
      <c r="H6" s="151">
        <f>IF(H27=0,0,H20/H27)</f>
        <v/>
      </c>
    </row>
    <row r="7" ht="20" customHeight="1" s="83">
      <c r="A7" s="150" t="inlineStr">
        <is>
          <t>AirPods</t>
        </is>
      </c>
      <c r="B7" s="151">
        <f>IF(B28=0,0,B21/B28)</f>
        <v/>
      </c>
      <c r="C7" s="151">
        <f>IF(C28=0,0,C21/C28)</f>
        <v/>
      </c>
      <c r="D7" s="151">
        <f>IF(D28=0,0,D21/D28)</f>
        <v/>
      </c>
      <c r="E7" s="151">
        <f>IF(E28=0,0,E21/E28)</f>
        <v/>
      </c>
      <c r="F7" s="151">
        <f>IF(F28=0,0,F21/F28)</f>
        <v/>
      </c>
      <c r="G7" s="151">
        <f>IF(G28=0,0,G21/G28)</f>
        <v/>
      </c>
      <c r="H7" s="151">
        <f>IF(H28=0,0,H21/H28)</f>
        <v/>
      </c>
    </row>
    <row r="9" ht="24" customHeight="1" s="83">
      <c r="A9" s="149" t="n"/>
      <c r="B9" s="138" t="n"/>
      <c r="C9" s="138" t="n"/>
      <c r="D9" s="138" t="n"/>
      <c r="E9" s="138" t="n"/>
      <c r="F9" s="138" t="n"/>
      <c r="G9" s="139" t="n"/>
    </row>
    <row r="10">
      <c r="A10" s="140" t="inlineStr">
        <is>
          <t>ARpedia</t>
        </is>
      </c>
      <c r="B10" s="140" t="inlineStr">
        <is>
          <t>士林門市</t>
        </is>
      </c>
      <c r="C10" s="140" t="inlineStr">
        <is>
          <t>微風門市</t>
        </is>
      </c>
      <c r="D10" s="140" t="inlineStr">
        <is>
          <t>美麗華門市</t>
        </is>
      </c>
      <c r="E10" s="140" t="inlineStr">
        <is>
          <t>阿波羅門市</t>
        </is>
      </c>
      <c r="F10" s="140" t="inlineStr">
        <is>
          <t>大葉高島屋門市</t>
        </is>
      </c>
      <c r="G10" s="140" t="inlineStr">
        <is>
          <t>羅東門市</t>
        </is>
      </c>
    </row>
    <row r="11" ht="20" customHeight="1" s="83">
      <c r="A11" s="150" t="inlineStr">
        <is>
          <t>本週銷售</t>
        </is>
      </c>
      <c r="B11" s="143" t="n"/>
      <c r="C11" s="143" t="n"/>
      <c r="D11" s="143" t="n"/>
      <c r="E11" s="143" t="n"/>
      <c r="F11" s="143" t="n"/>
      <c r="G11" s="143" t="n"/>
    </row>
    <row r="12" ht="20" customHeight="1" s="83">
      <c r="A12" s="150" t="inlineStr">
        <is>
          <t>本月銷售</t>
        </is>
      </c>
      <c r="B12" s="143" t="n"/>
      <c r="C12" s="143" t="n"/>
      <c r="D12" s="143" t="n"/>
      <c r="E12" s="143" t="n"/>
      <c r="F12" s="143" t="n"/>
      <c r="G12" s="143" t="n"/>
    </row>
    <row r="13" ht="20" customHeight="1" s="83">
      <c r="A13" s="150" t="inlineStr">
        <is>
          <t>年度銷售</t>
        </is>
      </c>
      <c r="B13" s="143" t="n"/>
      <c r="C13" s="143" t="n"/>
      <c r="D13" s="143" t="n"/>
      <c r="E13" s="143" t="n"/>
      <c r="F13" s="143" t="n"/>
      <c r="G13" s="143" t="n"/>
    </row>
    <row r="15">
      <c r="A15" s="152" t="inlineStr">
        <is>
          <t>明細 —— 上方搭售佔比的分子／分母，複製時可略過</t>
        </is>
      </c>
      <c r="B15" s="138" t="n"/>
      <c r="C15" s="138" t="n"/>
      <c r="D15" s="138" t="n"/>
      <c r="E15" s="138" t="n"/>
      <c r="F15" s="138" t="n"/>
      <c r="G15" s="138" t="n"/>
      <c r="H15" s="139" t="n"/>
    </row>
    <row r="16">
      <c r="A16" s="140" t="inlineStr">
        <is>
          <t>AC+ 台數</t>
        </is>
      </c>
      <c r="B16" s="140" t="inlineStr">
        <is>
          <t>士林門市</t>
        </is>
      </c>
      <c r="C16" s="140" t="inlineStr">
        <is>
          <t>微風門市</t>
        </is>
      </c>
      <c r="D16" s="140" t="inlineStr">
        <is>
          <t>美麗華門市</t>
        </is>
      </c>
      <c r="E16" s="140" t="inlineStr">
        <is>
          <t>阿波羅門市</t>
        </is>
      </c>
      <c r="F16" s="140" t="inlineStr">
        <is>
          <t>大葉高島屋門市</t>
        </is>
      </c>
      <c r="G16" s="140" t="inlineStr">
        <is>
          <t>羅東門市</t>
        </is>
      </c>
      <c r="H16" s="140" t="inlineStr">
        <is>
          <t>北一區</t>
        </is>
      </c>
    </row>
    <row r="17">
      <c r="A17" s="150" t="inlineStr">
        <is>
          <t>CPU</t>
        </is>
      </c>
      <c r="B17" s="143" t="n"/>
      <c r="C17" s="143" t="n"/>
      <c r="D17" s="143" t="n"/>
      <c r="E17" s="143" t="n"/>
      <c r="F17" s="143" t="n"/>
      <c r="G17" s="143" t="n"/>
      <c r="H17" s="143" t="n"/>
    </row>
    <row r="18">
      <c r="A18" s="150" t="inlineStr">
        <is>
          <t>iPad</t>
        </is>
      </c>
      <c r="B18" s="143" t="n"/>
      <c r="C18" s="143" t="n"/>
      <c r="D18" s="143" t="n"/>
      <c r="E18" s="143" t="n"/>
      <c r="F18" s="143" t="n"/>
      <c r="G18" s="143" t="n"/>
      <c r="H18" s="143" t="n"/>
    </row>
    <row r="19">
      <c r="A19" s="150" t="inlineStr">
        <is>
          <t>iPhone</t>
        </is>
      </c>
      <c r="B19" s="143" t="n"/>
      <c r="C19" s="143" t="n"/>
      <c r="D19" s="143" t="n"/>
      <c r="E19" s="143" t="n"/>
      <c r="F19" s="143" t="n"/>
      <c r="G19" s="143" t="n"/>
      <c r="H19" s="143" t="n"/>
    </row>
    <row r="20">
      <c r="A20" s="150" t="inlineStr">
        <is>
          <t>Watch</t>
        </is>
      </c>
      <c r="B20" s="143" t="n"/>
      <c r="C20" s="143" t="n"/>
      <c r="D20" s="143" t="n"/>
      <c r="E20" s="143" t="n"/>
      <c r="F20" s="143" t="n"/>
      <c r="G20" s="143" t="n"/>
      <c r="H20" s="143" t="n"/>
    </row>
    <row r="21">
      <c r="A21" s="150" t="inlineStr">
        <is>
          <t>AirPods</t>
        </is>
      </c>
      <c r="B21" s="143" t="n"/>
      <c r="C21" s="143" t="n"/>
      <c r="D21" s="143" t="n"/>
      <c r="E21" s="143" t="n"/>
      <c r="F21" s="143" t="n"/>
      <c r="G21" s="143" t="n"/>
      <c r="H21" s="143" t="n"/>
    </row>
    <row r="23">
      <c r="A23" s="140" t="inlineStr">
        <is>
          <t>主機台數</t>
        </is>
      </c>
      <c r="B23" s="140" t="inlineStr">
        <is>
          <t>士林門市</t>
        </is>
      </c>
      <c r="C23" s="140" t="inlineStr">
        <is>
          <t>微風門市</t>
        </is>
      </c>
      <c r="D23" s="140" t="inlineStr">
        <is>
          <t>美麗華門市</t>
        </is>
      </c>
      <c r="E23" s="140" t="inlineStr">
        <is>
          <t>阿波羅門市</t>
        </is>
      </c>
      <c r="F23" s="140" t="inlineStr">
        <is>
          <t>大葉高島屋門市</t>
        </is>
      </c>
      <c r="G23" s="140" t="inlineStr">
        <is>
          <t>羅東門市</t>
        </is>
      </c>
      <c r="H23" s="140" t="inlineStr">
        <is>
          <t>北一區</t>
        </is>
      </c>
    </row>
    <row r="24">
      <c r="A24" s="150" t="inlineStr">
        <is>
          <t>CPU</t>
        </is>
      </c>
      <c r="B24" s="143" t="n"/>
      <c r="C24" s="143" t="n"/>
      <c r="D24" s="143" t="n"/>
      <c r="E24" s="143" t="n"/>
      <c r="F24" s="143" t="n"/>
      <c r="G24" s="143" t="n"/>
      <c r="H24" s="143" t="n"/>
    </row>
    <row r="25">
      <c r="A25" s="150" t="inlineStr">
        <is>
          <t>iPad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>
      <c r="A26" s="150" t="inlineStr">
        <is>
          <t>iPhone</t>
        </is>
      </c>
      <c r="B26" s="143" t="n"/>
      <c r="C26" s="143" t="n"/>
      <c r="D26" s="143" t="n"/>
      <c r="E26" s="143" t="n"/>
      <c r="F26" s="143" t="n"/>
      <c r="G26" s="143" t="n"/>
      <c r="H26" s="143" t="n"/>
    </row>
    <row r="27">
      <c r="A27" s="150" t="inlineStr">
        <is>
          <t>Watch</t>
        </is>
      </c>
      <c r="B27" s="143" t="n"/>
      <c r="C27" s="143" t="n"/>
      <c r="D27" s="143" t="n"/>
      <c r="E27" s="143" t="n"/>
      <c r="F27" s="143" t="n"/>
      <c r="G27" s="143" t="n"/>
      <c r="H27" s="143" t="n"/>
    </row>
    <row r="28">
      <c r="A28" s="150" t="inlineStr">
        <is>
          <t>AirPods</t>
        </is>
      </c>
      <c r="B28" s="143" t="n"/>
      <c r="C28" s="143" t="n"/>
      <c r="D28" s="143" t="n"/>
      <c r="E28" s="143" t="n"/>
      <c r="F28" s="143" t="n"/>
      <c r="G28" s="143" t="n"/>
      <c r="H28" s="143" t="n"/>
    </row>
  </sheetData>
  <mergeCells count="3">
    <mergeCell ref="A15:H15"/>
    <mergeCell ref="A9:G9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E75B6"/>
    <outlinePr summaryBelow="1" summaryRight="1"/>
    <pageSetUpPr/>
  </sheetPr>
  <dimension ref="A1:AH38"/>
  <sheetViews>
    <sheetView showGridLines="0" zoomScale="86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Q13" sqref="Q13:Q20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7"/>
    <col width="13.796875" bestFit="1" customWidth="1" style="83" min="28" max="28"/>
    <col width="15" bestFit="1" customWidth="1" style="83" min="29" max="29"/>
    <col width="9.59765625" bestFit="1" customWidth="1" style="83" min="30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1" ht="14" customHeight="1" s="83">
      <c r="A1" s="111" t="inlineStr">
        <is>
          <t>月累積對照  ·  2026/04/01~04/18  vs  2026/03/01~03/31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Y1" s="135" t="n"/>
      <c r="Z1" s="135" t="n"/>
      <c r="AA1" s="135" t="n"/>
      <c r="AB1" s="135" t="n"/>
      <c r="AC1" s="135" t="n"/>
      <c r="AD1" s="135" t="n"/>
      <c r="AE1" s="135" t="n"/>
      <c r="AF1" s="135" t="n"/>
      <c r="AG1" s="135" t="n"/>
      <c r="AH1" s="135" t="n"/>
    </row>
    <row r="2" ht="36" customHeight="1" s="83">
      <c r="A2" s="72" t="n"/>
      <c r="B2" s="72" t="n"/>
      <c r="C2" s="72" t="n"/>
      <c r="D2" s="72" t="inlineStr">
        <is>
          <t>總業績(未加SA Care)</t>
        </is>
      </c>
      <c r="E2" s="72" t="n"/>
      <c r="F2" s="72" t="n"/>
      <c r="G2" s="72" t="inlineStr">
        <is>
          <t>3PP(未加SA Care)</t>
        </is>
      </c>
      <c r="H2" s="72" t="n"/>
      <c r="I2" s="72" t="n"/>
      <c r="J2" s="72" t="inlineStr">
        <is>
          <t>SA Care</t>
        </is>
      </c>
      <c r="K2" s="72" t="n"/>
      <c r="L2" s="72" t="n"/>
      <c r="M2" s="72" t="inlineStr">
        <is>
          <t>AC</t>
        </is>
      </c>
      <c r="N2" s="72" t="n"/>
      <c r="O2" s="72" t="n"/>
      <c r="P2" s="72" t="inlineStr">
        <is>
          <t>總業績</t>
        </is>
      </c>
      <c r="Q2" s="72" t="n"/>
      <c r="R2" s="72" t="n"/>
      <c r="S2" s="72" t="inlineStr">
        <is>
          <t>3PP</t>
        </is>
      </c>
      <c r="T2" s="72" t="n"/>
      <c r="U2" s="72" t="n"/>
      <c r="V2" s="72" t="inlineStr">
        <is>
          <t>3PP搭售率(未加Care)</t>
        </is>
      </c>
      <c r="W2" s="72" t="inlineStr">
        <is>
          <t>3PP搭售率(未加Care)</t>
        </is>
      </c>
      <c r="X2" s="72" t="inlineStr">
        <is>
          <t>SA Care搭售率</t>
        </is>
      </c>
      <c r="Y2" s="72" t="inlineStr">
        <is>
          <t>SA Care搭售率</t>
        </is>
      </c>
      <c r="Z2" s="72" t="inlineStr">
        <is>
          <t>AC搭售率</t>
        </is>
      </c>
      <c r="AA2" s="72" t="inlineStr">
        <is>
          <t>AC搭售率</t>
        </is>
      </c>
      <c r="AB2" s="72" t="inlineStr">
        <is>
          <t>禮券金額</t>
        </is>
      </c>
      <c r="AC2" s="72" t="n"/>
      <c r="AD2" s="72" t="n"/>
      <c r="AE2" s="72" t="inlineStr">
        <is>
          <t>總業績差異</t>
        </is>
      </c>
      <c r="AF2" s="72" t="inlineStr">
        <is>
          <t>3PP(未加SA Care)差異</t>
        </is>
      </c>
      <c r="AG2" s="72" t="inlineStr">
        <is>
          <t>SA Care</t>
        </is>
      </c>
      <c r="AH2" s="72" t="inlineStr">
        <is>
          <t>AC</t>
        </is>
      </c>
    </row>
    <row r="3" ht="42" customHeight="1" s="83">
      <c r="A3" s="86" t="n"/>
      <c r="B3" s="86" t="inlineStr">
        <is>
          <t>本月目標</t>
        </is>
      </c>
      <c r="C3" s="86" t="inlineStr">
        <is>
          <t>達成率</t>
        </is>
      </c>
      <c r="D3" s="70" t="inlineStr">
        <is>
          <t>總業績
(未加SA Care)
03/01~03/31</t>
        </is>
      </c>
      <c r="E3" s="71" t="inlineStr">
        <is>
          <t>總業績
(未加SA Care)
04/01~04/18</t>
        </is>
      </c>
      <c r="F3" s="86" t="inlineStr">
        <is>
          <t>較上月比</t>
        </is>
      </c>
      <c r="G3" s="70" t="inlineStr">
        <is>
          <t>3PP
(未加SA Care)
03/01~03/31</t>
        </is>
      </c>
      <c r="H3" s="71" t="inlineStr">
        <is>
          <t>3PP
(未加SA Care)
04/01~04/18</t>
        </is>
      </c>
      <c r="I3" s="86" t="inlineStr">
        <is>
          <t>較上月比</t>
        </is>
      </c>
      <c r="J3" s="70" t="inlineStr">
        <is>
          <t>SA Care
03/01~03/31</t>
        </is>
      </c>
      <c r="K3" s="71" t="inlineStr">
        <is>
          <t>SA Care
04/01~04/18</t>
        </is>
      </c>
      <c r="L3" s="86" t="inlineStr">
        <is>
          <t>較上月比</t>
        </is>
      </c>
      <c r="M3" s="70" t="inlineStr">
        <is>
          <t>AC
03/01~03/31</t>
        </is>
      </c>
      <c r="N3" s="71" t="inlineStr">
        <is>
          <t>AC
04/01~04/18</t>
        </is>
      </c>
      <c r="O3" s="86" t="inlineStr">
        <is>
          <t>較上月比</t>
        </is>
      </c>
      <c r="P3" s="70" t="inlineStr">
        <is>
          <t>總業績
03/01~03/31</t>
        </is>
      </c>
      <c r="Q3" s="71" t="inlineStr">
        <is>
          <t>總業績
04/01~04/18</t>
        </is>
      </c>
      <c r="R3" s="86" t="inlineStr">
        <is>
          <t>較上月比</t>
        </is>
      </c>
      <c r="S3" s="70" t="inlineStr">
        <is>
          <t>3PP
03/01~03/31</t>
        </is>
      </c>
      <c r="T3" s="71" t="inlineStr">
        <is>
          <t>3PP
04/01~04/18</t>
        </is>
      </c>
      <c r="U3" s="86" t="inlineStr">
        <is>
          <t>較上月比</t>
        </is>
      </c>
      <c r="V3" s="70" t="inlineStr">
        <is>
          <t>3PP搭售率
上月</t>
        </is>
      </c>
      <c r="W3" s="71" t="inlineStr">
        <is>
          <t>3PP搭售率
本月</t>
        </is>
      </c>
      <c r="X3" s="75" t="inlineStr">
        <is>
          <t>SACARE搭售率
上月</t>
        </is>
      </c>
      <c r="Y3" s="76" t="inlineStr">
        <is>
          <t>SACARE搭售率
本月</t>
        </is>
      </c>
      <c r="Z3" s="75" t="inlineStr">
        <is>
          <t>AC搭售率
上月</t>
        </is>
      </c>
      <c r="AA3" s="76" t="inlineStr">
        <is>
          <t>AC搭售率
本月</t>
        </is>
      </c>
      <c r="AB3" s="39" t="inlineStr">
        <is>
          <t>上月</t>
        </is>
      </c>
      <c r="AC3" s="40" t="inlineStr">
        <is>
          <t>本月</t>
        </is>
      </c>
      <c r="AD3" s="86" t="inlineStr">
        <is>
          <t>較上週比</t>
        </is>
      </c>
      <c r="AE3" s="86" t="n"/>
      <c r="AF3" s="86" t="n"/>
      <c r="AG3" s="86" t="n"/>
      <c r="AH3" s="86" t="n"/>
    </row>
    <row r="4" ht="20" customHeight="1" s="83">
      <c r="A4" s="73" t="inlineStr">
        <is>
          <t>士林門市</t>
        </is>
      </c>
      <c r="B4" s="73" t="n"/>
      <c r="C4" s="73" t="n"/>
      <c r="D4" s="123" t="n">
        <v>0</v>
      </c>
      <c r="E4" s="123" t="n">
        <v>0</v>
      </c>
      <c r="F4" s="74" t="n">
        <v>0</v>
      </c>
      <c r="G4" s="123" t="n">
        <v>0</v>
      </c>
      <c r="H4" s="123" t="n">
        <v>0</v>
      </c>
      <c r="I4" s="74" t="n">
        <v>0</v>
      </c>
      <c r="J4" s="123" t="n">
        <v>0</v>
      </c>
      <c r="K4" s="123" t="n">
        <v>0</v>
      </c>
      <c r="L4" s="74" t="n">
        <v>0</v>
      </c>
      <c r="M4" s="123" t="n">
        <v>0</v>
      </c>
      <c r="N4" s="123" t="n">
        <v>0</v>
      </c>
      <c r="O4" s="74" t="n">
        <v>0</v>
      </c>
      <c r="P4" s="123" t="n">
        <v>0</v>
      </c>
      <c r="Q4" s="123" t="n">
        <v>0</v>
      </c>
      <c r="R4" s="74" t="n">
        <v>0</v>
      </c>
      <c r="S4" s="123" t="n">
        <v>0</v>
      </c>
      <c r="T4" s="123" t="n">
        <v>0</v>
      </c>
      <c r="U4" s="7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123" t="n">
        <v>0</v>
      </c>
      <c r="AC4" s="123" t="n">
        <v>0</v>
      </c>
      <c r="AD4" s="74" t="n">
        <v>0</v>
      </c>
      <c r="AE4" s="123" t="n">
        <v>0</v>
      </c>
      <c r="AF4" s="123" t="n">
        <v>0</v>
      </c>
      <c r="AG4" s="123" t="n"/>
      <c r="AH4" s="123" t="n"/>
    </row>
    <row r="5" ht="20" customHeight="1" s="83">
      <c r="A5" s="73" t="inlineStr">
        <is>
          <t>微風門市</t>
        </is>
      </c>
      <c r="B5" s="73" t="n"/>
      <c r="C5" s="73" t="n"/>
      <c r="D5" s="124" t="n">
        <v>0</v>
      </c>
      <c r="E5" s="124" t="n">
        <v>0</v>
      </c>
      <c r="F5" s="74" t="n">
        <v>0</v>
      </c>
      <c r="G5" s="124" t="n">
        <v>0</v>
      </c>
      <c r="H5" s="124" t="n">
        <v>0</v>
      </c>
      <c r="I5" s="74" t="n">
        <v>0</v>
      </c>
      <c r="J5" s="124" t="n">
        <v>0</v>
      </c>
      <c r="K5" s="124" t="n">
        <v>0</v>
      </c>
      <c r="L5" s="74" t="n">
        <v>0</v>
      </c>
      <c r="M5" s="124" t="n">
        <v>0</v>
      </c>
      <c r="N5" s="124" t="n">
        <v>0</v>
      </c>
      <c r="O5" s="74" t="n">
        <v>0</v>
      </c>
      <c r="P5" s="124" t="n">
        <v>0</v>
      </c>
      <c r="Q5" s="124" t="n">
        <v>0</v>
      </c>
      <c r="R5" s="74" t="n">
        <v>0</v>
      </c>
      <c r="S5" s="124" t="n">
        <v>0</v>
      </c>
      <c r="T5" s="124" t="n">
        <v>0</v>
      </c>
      <c r="U5" s="74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124" t="n">
        <v>0</v>
      </c>
      <c r="AC5" s="124" t="n">
        <v>0</v>
      </c>
      <c r="AD5" s="74" t="n">
        <v>0</v>
      </c>
      <c r="AE5" s="124" t="n">
        <v>0</v>
      </c>
      <c r="AF5" s="124" t="n">
        <v>0</v>
      </c>
      <c r="AG5" s="124" t="n"/>
      <c r="AH5" s="124" t="n"/>
    </row>
    <row r="6" ht="20" customHeight="1" s="83">
      <c r="A6" s="73" t="inlineStr">
        <is>
          <t>美麗華門市</t>
        </is>
      </c>
      <c r="B6" s="73" t="n"/>
      <c r="C6" s="73" t="n"/>
      <c r="D6" s="123" t="n">
        <v>0</v>
      </c>
      <c r="E6" s="123" t="n">
        <v>0</v>
      </c>
      <c r="F6" s="74" t="n">
        <v>0</v>
      </c>
      <c r="G6" s="123" t="n">
        <v>0</v>
      </c>
      <c r="H6" s="123" t="n">
        <v>0</v>
      </c>
      <c r="I6" s="74" t="n">
        <v>0</v>
      </c>
      <c r="J6" s="123" t="n">
        <v>0</v>
      </c>
      <c r="K6" s="123" t="n">
        <v>0</v>
      </c>
      <c r="L6" s="74" t="n">
        <v>0</v>
      </c>
      <c r="M6" s="123" t="n">
        <v>0</v>
      </c>
      <c r="N6" s="123" t="n">
        <v>0</v>
      </c>
      <c r="O6" s="74" t="n">
        <v>0</v>
      </c>
      <c r="P6" s="123" t="n">
        <v>0</v>
      </c>
      <c r="Q6" s="123" t="n">
        <v>0</v>
      </c>
      <c r="R6" s="74" t="n">
        <v>0</v>
      </c>
      <c r="S6" s="123" t="n">
        <v>0</v>
      </c>
      <c r="T6" s="123" t="n">
        <v>0</v>
      </c>
      <c r="U6" s="7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44" t="n">
        <v>0</v>
      </c>
      <c r="AA6" s="44" t="n">
        <v>0</v>
      </c>
      <c r="AB6" s="123" t="n">
        <v>0</v>
      </c>
      <c r="AC6" s="123" t="n">
        <v>0</v>
      </c>
      <c r="AD6" s="74" t="n">
        <v>0</v>
      </c>
      <c r="AE6" s="123" t="n">
        <v>0</v>
      </c>
      <c r="AF6" s="123" t="n">
        <v>0</v>
      </c>
      <c r="AG6" s="123" t="n"/>
      <c r="AH6" s="123" t="n"/>
    </row>
    <row r="7" ht="20" customHeight="1" s="83">
      <c r="A7" s="73" t="inlineStr">
        <is>
          <t>阿波羅門市</t>
        </is>
      </c>
      <c r="B7" s="73" t="n"/>
      <c r="C7" s="73" t="n"/>
      <c r="D7" s="124" t="n">
        <v>0</v>
      </c>
      <c r="E7" s="124" t="n">
        <v>0</v>
      </c>
      <c r="F7" s="74" t="n">
        <v>0</v>
      </c>
      <c r="G7" s="124" t="n">
        <v>0</v>
      </c>
      <c r="H7" s="124" t="n">
        <v>0</v>
      </c>
      <c r="I7" s="74" t="n">
        <v>0</v>
      </c>
      <c r="J7" s="124" t="n">
        <v>0</v>
      </c>
      <c r="K7" s="124" t="n">
        <v>0</v>
      </c>
      <c r="L7" s="74" t="n">
        <v>0</v>
      </c>
      <c r="M7" s="124" t="n">
        <v>0</v>
      </c>
      <c r="N7" s="124" t="n">
        <v>0</v>
      </c>
      <c r="O7" s="74" t="n">
        <v>0</v>
      </c>
      <c r="P7" s="124" t="n">
        <v>0</v>
      </c>
      <c r="Q7" s="124" t="n">
        <v>0</v>
      </c>
      <c r="R7" s="74" t="n">
        <v>0</v>
      </c>
      <c r="S7" s="124" t="n">
        <v>0</v>
      </c>
      <c r="T7" s="124" t="n">
        <v>0</v>
      </c>
      <c r="U7" s="74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124" t="n">
        <v>0</v>
      </c>
      <c r="AC7" s="124" t="n">
        <v>0</v>
      </c>
      <c r="AD7" s="74" t="n">
        <v>0</v>
      </c>
      <c r="AE7" s="124" t="n">
        <v>0</v>
      </c>
      <c r="AF7" s="124" t="n">
        <v>0</v>
      </c>
      <c r="AG7" s="124" t="n"/>
      <c r="AH7" s="124" t="n"/>
    </row>
    <row r="8" ht="20" customHeight="1" s="83">
      <c r="A8" s="73" t="inlineStr">
        <is>
          <t>大葉高島屋門市</t>
        </is>
      </c>
      <c r="B8" s="73" t="n"/>
      <c r="C8" s="73" t="n"/>
      <c r="D8" s="123" t="n">
        <v>0</v>
      </c>
      <c r="E8" s="123" t="n">
        <v>0</v>
      </c>
      <c r="F8" s="74" t="n">
        <v>0</v>
      </c>
      <c r="G8" s="123" t="n">
        <v>0</v>
      </c>
      <c r="H8" s="123" t="n">
        <v>0</v>
      </c>
      <c r="I8" s="74" t="n">
        <v>0</v>
      </c>
      <c r="J8" s="123" t="n">
        <v>0</v>
      </c>
      <c r="K8" s="123" t="n">
        <v>0</v>
      </c>
      <c r="L8" s="74" t="n">
        <v>0</v>
      </c>
      <c r="M8" s="123" t="n">
        <v>0</v>
      </c>
      <c r="N8" s="123" t="n">
        <v>0</v>
      </c>
      <c r="O8" s="74" t="n">
        <v>0</v>
      </c>
      <c r="P8" s="123" t="n">
        <v>0</v>
      </c>
      <c r="Q8" s="123" t="n">
        <v>0</v>
      </c>
      <c r="R8" s="74" t="n">
        <v>0</v>
      </c>
      <c r="S8" s="123" t="n">
        <v>0</v>
      </c>
      <c r="T8" s="123" t="n">
        <v>0</v>
      </c>
      <c r="U8" s="7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123" t="n">
        <v>0</v>
      </c>
      <c r="AC8" s="123" t="n">
        <v>0</v>
      </c>
      <c r="AD8" s="74" t="n">
        <v>0</v>
      </c>
      <c r="AE8" s="123" t="n">
        <v>0</v>
      </c>
      <c r="AF8" s="123" t="n">
        <v>0</v>
      </c>
      <c r="AG8" s="123" t="n"/>
      <c r="AH8" s="123" t="n"/>
    </row>
    <row r="9" ht="20" customHeight="1" s="83">
      <c r="A9" s="73" t="inlineStr">
        <is>
          <t>羅東門市</t>
        </is>
      </c>
      <c r="B9" s="73" t="n"/>
      <c r="C9" s="73" t="n"/>
      <c r="D9" s="124" t="n">
        <v>0</v>
      </c>
      <c r="E9" s="124" t="n">
        <v>0</v>
      </c>
      <c r="F9" s="74" t="n">
        <v>0</v>
      </c>
      <c r="G9" s="124" t="n">
        <v>0</v>
      </c>
      <c r="H9" s="124" t="n">
        <v>0</v>
      </c>
      <c r="I9" s="74" t="n">
        <v>0</v>
      </c>
      <c r="J9" s="124" t="n">
        <v>0</v>
      </c>
      <c r="K9" s="124" t="n">
        <v>0</v>
      </c>
      <c r="L9" s="74" t="n">
        <v>0</v>
      </c>
      <c r="M9" s="124" t="n">
        <v>0</v>
      </c>
      <c r="N9" s="124" t="n">
        <v>0</v>
      </c>
      <c r="O9" s="74" t="n">
        <v>0</v>
      </c>
      <c r="P9" s="124" t="n">
        <v>0</v>
      </c>
      <c r="Q9" s="124" t="n">
        <v>0</v>
      </c>
      <c r="R9" s="74" t="n">
        <v>0</v>
      </c>
      <c r="S9" s="124" t="n">
        <v>0</v>
      </c>
      <c r="T9" s="124" t="n">
        <v>0</v>
      </c>
      <c r="U9" s="74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124" t="n">
        <v>0</v>
      </c>
      <c r="AC9" s="124" t="n">
        <v>0</v>
      </c>
      <c r="AD9" s="74" t="n">
        <v>0</v>
      </c>
      <c r="AE9" s="124" t="n">
        <v>0</v>
      </c>
      <c r="AF9" s="124" t="n">
        <v>0</v>
      </c>
      <c r="AG9" s="124" t="n"/>
      <c r="AH9" s="124" t="n"/>
    </row>
    <row r="10" ht="20" customHeight="1" s="83">
      <c r="A10" s="47" t="inlineStr">
        <is>
          <t>Total</t>
        </is>
      </c>
      <c r="B10" s="47" t="n"/>
      <c r="C10" s="47" t="n"/>
      <c r="D10" s="125" t="n">
        <v>0</v>
      </c>
      <c r="E10" s="125" t="n">
        <v>0</v>
      </c>
      <c r="F10" s="49" t="n">
        <v>0</v>
      </c>
      <c r="G10" s="125" t="n">
        <v>0</v>
      </c>
      <c r="H10" s="125" t="n">
        <v>0</v>
      </c>
      <c r="I10" s="49" t="n">
        <v>0</v>
      </c>
      <c r="J10" s="125" t="n">
        <v>0</v>
      </c>
      <c r="K10" s="125" t="n">
        <v>0</v>
      </c>
      <c r="L10" s="49" t="n">
        <v>0</v>
      </c>
      <c r="M10" s="125" t="n">
        <v>0</v>
      </c>
      <c r="N10" s="125" t="n">
        <v>0</v>
      </c>
      <c r="O10" s="49" t="n">
        <v>0</v>
      </c>
      <c r="P10" s="125" t="n">
        <v>0</v>
      </c>
      <c r="Q10" s="125" t="n">
        <v>0</v>
      </c>
      <c r="R10" s="49" t="n">
        <v>0</v>
      </c>
      <c r="S10" s="125" t="n">
        <v>0</v>
      </c>
      <c r="T10" s="125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125" t="n">
        <v>0</v>
      </c>
      <c r="AC10" s="125" t="n">
        <v>0</v>
      </c>
      <c r="AD10" s="49" t="n">
        <v>0</v>
      </c>
      <c r="AE10" s="125" t="n">
        <v>0</v>
      </c>
      <c r="AF10" s="125" t="n">
        <v>0</v>
      </c>
      <c r="AG10" s="125" t="n"/>
      <c r="AH10" s="125" t="n"/>
    </row>
    <row r="12" ht="26" customHeight="1" s="83">
      <c r="A12" s="72" t="n"/>
      <c r="B12" s="72" t="inlineStr">
        <is>
          <t>CPU</t>
        </is>
      </c>
      <c r="C12" s="72" t="n"/>
      <c r="D12" s="72" t="n"/>
      <c r="E12" s="72" t="inlineStr">
        <is>
          <t>iPad</t>
        </is>
      </c>
      <c r="F12" s="72" t="n"/>
      <c r="G12" s="72" t="n"/>
      <c r="H12" s="72" t="inlineStr">
        <is>
          <t>iPhone</t>
        </is>
      </c>
      <c r="I12" s="72" t="n"/>
      <c r="J12" s="72" t="n"/>
      <c r="K12" s="72" t="inlineStr">
        <is>
          <t>Watch</t>
        </is>
      </c>
      <c r="L12" s="72" t="n"/>
      <c r="M12" s="72" t="n"/>
      <c r="N12" s="72" t="inlineStr">
        <is>
          <t>AirPods</t>
        </is>
      </c>
      <c r="O12" s="72" t="n"/>
      <c r="P12" s="72" t="n"/>
      <c r="Q12" s="72" t="n"/>
      <c r="R12" s="72" t="inlineStr">
        <is>
          <t>上月</t>
        </is>
      </c>
      <c r="S12" s="72" t="n"/>
      <c r="T12" s="72" t="n"/>
      <c r="U12" s="72" t="inlineStr">
        <is>
          <t>本月</t>
        </is>
      </c>
      <c r="V12" s="72" t="n"/>
      <c r="W12" s="72" t="n"/>
      <c r="X12" s="72" t="n"/>
      <c r="Y12" s="72" t="n"/>
      <c r="Z12" s="72" t="inlineStr">
        <is>
          <t>平均單價</t>
        </is>
      </c>
      <c r="AA12" s="72" t="n"/>
      <c r="AB12" s="72" t="n"/>
      <c r="AC12" s="72" t="n"/>
    </row>
    <row r="13" ht="42" customHeight="1" s="83">
      <c r="A13" s="86" t="n"/>
      <c r="B13" s="70" t="inlineStr">
        <is>
          <t>2026
03/01~03/18</t>
        </is>
      </c>
      <c r="C13" s="71" t="inlineStr">
        <is>
          <t>2026
04/01~04/18</t>
        </is>
      </c>
      <c r="D13" s="86" t="inlineStr">
        <is>
          <t>較上月比</t>
        </is>
      </c>
      <c r="E13" s="70" t="inlineStr">
        <is>
          <t>2026
03/01~03/18</t>
        </is>
      </c>
      <c r="F13" s="71" t="inlineStr">
        <is>
          <t>2026
04/01~04/18</t>
        </is>
      </c>
      <c r="G13" s="86" t="inlineStr">
        <is>
          <t>較上月比</t>
        </is>
      </c>
      <c r="H13" s="70" t="inlineStr">
        <is>
          <t>2026
03/01~03/18</t>
        </is>
      </c>
      <c r="I13" s="71" t="inlineStr">
        <is>
          <t>2026
04/01~04/18</t>
        </is>
      </c>
      <c r="J13" s="86" t="inlineStr">
        <is>
          <t>較上月比</t>
        </is>
      </c>
      <c r="K13" s="70" t="inlineStr">
        <is>
          <t>2026
03/01~03/18</t>
        </is>
      </c>
      <c r="L13" s="71" t="inlineStr">
        <is>
          <t>2026
04/01~04/18</t>
        </is>
      </c>
      <c r="M13" s="86" t="inlineStr">
        <is>
          <t>較上月比</t>
        </is>
      </c>
      <c r="N13" s="70" t="inlineStr">
        <is>
          <t>2026
03/01~03/18</t>
        </is>
      </c>
      <c r="O13" s="71" t="inlineStr">
        <is>
          <t>2026
04/01~04/18</t>
        </is>
      </c>
      <c r="P13" s="86" t="inlineStr">
        <is>
          <t>較上月比</t>
        </is>
      </c>
      <c r="Q13" s="86" t="n"/>
      <c r="R13" s="86" t="inlineStr">
        <is>
          <t>成交筆數</t>
        </is>
      </c>
      <c r="S13" s="86" t="inlineStr">
        <is>
          <t>人流</t>
        </is>
      </c>
      <c r="T13" s="86" t="inlineStr">
        <is>
          <t>提袋率</t>
        </is>
      </c>
      <c r="U13" s="86" t="inlineStr">
        <is>
          <t>成交筆數</t>
        </is>
      </c>
      <c r="V13" s="86" t="inlineStr">
        <is>
          <t>人流</t>
        </is>
      </c>
      <c r="W13" s="86" t="inlineStr">
        <is>
          <t>提袋率</t>
        </is>
      </c>
      <c r="X13" s="86" t="inlineStr">
        <is>
          <t>差異人流</t>
        </is>
      </c>
      <c r="Y13" s="86" t="inlineStr">
        <is>
          <t>較上月比</t>
        </is>
      </c>
      <c r="Z13" s="70" t="inlineStr">
        <is>
          <t>2026
03/01~03/18</t>
        </is>
      </c>
      <c r="AA13" s="71" t="inlineStr">
        <is>
          <t>2026
04/01~04/18</t>
        </is>
      </c>
      <c r="AB13" s="86" t="inlineStr">
        <is>
          <t>差異金額</t>
        </is>
      </c>
      <c r="AC13" s="86" t="inlineStr">
        <is>
          <t>較上月比</t>
        </is>
      </c>
    </row>
    <row r="14" ht="20" customHeight="1" s="83">
      <c r="A14" s="73" t="inlineStr">
        <is>
          <t>士林門市</t>
        </is>
      </c>
      <c r="B14" s="123" t="n">
        <v>0</v>
      </c>
      <c r="C14" s="123" t="n">
        <v>0</v>
      </c>
      <c r="D14" s="74" t="n">
        <v>0</v>
      </c>
      <c r="E14" s="123" t="n">
        <v>0</v>
      </c>
      <c r="F14" s="123" t="n">
        <v>0</v>
      </c>
      <c r="G14" s="74" t="n">
        <v>0</v>
      </c>
      <c r="H14" s="123" t="n">
        <v>0</v>
      </c>
      <c r="I14" s="123" t="n">
        <v>0</v>
      </c>
      <c r="J14" s="74" t="n">
        <v>0</v>
      </c>
      <c r="K14" s="123" t="n">
        <v>0</v>
      </c>
      <c r="L14" s="123" t="n">
        <v>0</v>
      </c>
      <c r="M14" s="74" t="n">
        <v>0</v>
      </c>
      <c r="N14" s="123" t="n">
        <v>0</v>
      </c>
      <c r="O14" s="123" t="n">
        <v>0</v>
      </c>
      <c r="P14" s="74" t="n">
        <v>0</v>
      </c>
      <c r="Q14" s="126" t="n"/>
      <c r="R14" s="123" t="n">
        <v>0</v>
      </c>
      <c r="S14" s="87" t="n"/>
      <c r="T14" s="87" t="n"/>
      <c r="U14" s="123" t="n">
        <v>0</v>
      </c>
      <c r="V14" s="87" t="n"/>
      <c r="W14" s="87" t="n"/>
      <c r="X14" s="87" t="n"/>
      <c r="Y14" s="74" t="n">
        <v>0</v>
      </c>
      <c r="Z14" s="87" t="n"/>
      <c r="AA14" s="87" t="n"/>
      <c r="AB14" s="87" t="n"/>
      <c r="AC14" s="74" t="n">
        <v>0</v>
      </c>
    </row>
    <row r="15" ht="20" customHeight="1" s="83">
      <c r="A15" s="73" t="inlineStr">
        <is>
          <t>微風門市</t>
        </is>
      </c>
      <c r="B15" s="124" t="n">
        <v>0</v>
      </c>
      <c r="C15" s="124" t="n">
        <v>0</v>
      </c>
      <c r="D15" s="74" t="n">
        <v>0</v>
      </c>
      <c r="E15" s="124" t="n">
        <v>0</v>
      </c>
      <c r="F15" s="124" t="n">
        <v>0</v>
      </c>
      <c r="G15" s="74" t="n">
        <v>0</v>
      </c>
      <c r="H15" s="124" t="n">
        <v>0</v>
      </c>
      <c r="I15" s="124" t="n">
        <v>0</v>
      </c>
      <c r="J15" s="74" t="n">
        <v>0</v>
      </c>
      <c r="K15" s="124" t="n">
        <v>0</v>
      </c>
      <c r="L15" s="124" t="n">
        <v>0</v>
      </c>
      <c r="M15" s="74" t="n">
        <v>0</v>
      </c>
      <c r="N15" s="124" t="n">
        <v>0</v>
      </c>
      <c r="O15" s="124" t="n">
        <v>0</v>
      </c>
      <c r="P15" s="74" t="n">
        <v>0</v>
      </c>
      <c r="Q15" s="126" t="n"/>
      <c r="R15" s="124" t="n">
        <v>0</v>
      </c>
      <c r="S15" s="50" t="n"/>
      <c r="T15" s="50" t="n"/>
      <c r="U15" s="124" t="n">
        <v>0</v>
      </c>
      <c r="V15" s="50" t="n"/>
      <c r="W15" s="50" t="n"/>
      <c r="X15" s="50" t="n"/>
      <c r="Y15" s="74" t="n">
        <v>0</v>
      </c>
      <c r="Z15" s="50" t="n"/>
      <c r="AA15" s="50" t="n"/>
      <c r="AB15" s="50" t="n"/>
      <c r="AC15" s="74" t="n">
        <v>0</v>
      </c>
    </row>
    <row r="16" ht="20" customHeight="1" s="83">
      <c r="A16" s="73" t="inlineStr">
        <is>
          <t>美麗華門市</t>
        </is>
      </c>
      <c r="B16" s="123" t="n">
        <v>0</v>
      </c>
      <c r="C16" s="123" t="n">
        <v>0</v>
      </c>
      <c r="D16" s="74" t="n">
        <v>0</v>
      </c>
      <c r="E16" s="123" t="n">
        <v>0</v>
      </c>
      <c r="F16" s="123" t="n">
        <v>0</v>
      </c>
      <c r="G16" s="74" t="n">
        <v>0</v>
      </c>
      <c r="H16" s="123" t="n">
        <v>0</v>
      </c>
      <c r="I16" s="123" t="n">
        <v>0</v>
      </c>
      <c r="J16" s="74" t="n">
        <v>0</v>
      </c>
      <c r="K16" s="123" t="n">
        <v>0</v>
      </c>
      <c r="L16" s="123" t="n">
        <v>0</v>
      </c>
      <c r="M16" s="74" t="n">
        <v>0</v>
      </c>
      <c r="N16" s="123" t="n">
        <v>0</v>
      </c>
      <c r="O16" s="123" t="n">
        <v>0</v>
      </c>
      <c r="P16" s="74" t="n">
        <v>0</v>
      </c>
      <c r="Q16" s="126" t="n"/>
      <c r="R16" s="123" t="n">
        <v>0</v>
      </c>
      <c r="S16" s="87" t="n"/>
      <c r="T16" s="87" t="n"/>
      <c r="U16" s="123" t="n">
        <v>0</v>
      </c>
      <c r="V16" s="87" t="n"/>
      <c r="W16" s="87" t="n"/>
      <c r="X16" s="87" t="n"/>
      <c r="Y16" s="74" t="n">
        <v>0</v>
      </c>
      <c r="Z16" s="87" t="n"/>
      <c r="AA16" s="87" t="n"/>
      <c r="AB16" s="87" t="n"/>
      <c r="AC16" s="74" t="n">
        <v>0</v>
      </c>
    </row>
    <row r="17" ht="20" customHeight="1" s="83">
      <c r="A17" s="73" t="inlineStr">
        <is>
          <t>阿波羅門市</t>
        </is>
      </c>
      <c r="B17" s="124" t="n">
        <v>0</v>
      </c>
      <c r="C17" s="124" t="n">
        <v>0</v>
      </c>
      <c r="D17" s="74" t="n">
        <v>0</v>
      </c>
      <c r="E17" s="124" t="n">
        <v>0</v>
      </c>
      <c r="F17" s="124" t="n">
        <v>0</v>
      </c>
      <c r="G17" s="74" t="n">
        <v>0</v>
      </c>
      <c r="H17" s="124" t="n">
        <v>0</v>
      </c>
      <c r="I17" s="124" t="n">
        <v>0</v>
      </c>
      <c r="J17" s="74" t="n">
        <v>0</v>
      </c>
      <c r="K17" s="124" t="n">
        <v>0</v>
      </c>
      <c r="L17" s="124" t="n">
        <v>0</v>
      </c>
      <c r="M17" s="74" t="n">
        <v>0</v>
      </c>
      <c r="N17" s="124" t="n">
        <v>0</v>
      </c>
      <c r="O17" s="124" t="n">
        <v>0</v>
      </c>
      <c r="P17" s="74" t="n">
        <v>0</v>
      </c>
      <c r="Q17" s="126" t="n"/>
      <c r="R17" s="124" t="n">
        <v>0</v>
      </c>
      <c r="S17" s="50" t="n"/>
      <c r="T17" s="50" t="n"/>
      <c r="U17" s="124" t="n">
        <v>0</v>
      </c>
      <c r="V17" s="50" t="n"/>
      <c r="W17" s="50" t="n"/>
      <c r="X17" s="50" t="n"/>
      <c r="Y17" s="74" t="n">
        <v>0</v>
      </c>
      <c r="Z17" s="50" t="n"/>
      <c r="AA17" s="50" t="n"/>
      <c r="AB17" s="50" t="n"/>
      <c r="AC17" s="74" t="n">
        <v>0</v>
      </c>
    </row>
    <row r="18" ht="20" customHeight="1" s="83">
      <c r="A18" s="73" t="inlineStr">
        <is>
          <t>大葉高島屋門市</t>
        </is>
      </c>
      <c r="B18" s="123" t="n">
        <v>0</v>
      </c>
      <c r="C18" s="123" t="n">
        <v>0</v>
      </c>
      <c r="D18" s="74" t="n">
        <v>0</v>
      </c>
      <c r="E18" s="123" t="n">
        <v>0</v>
      </c>
      <c r="F18" s="123" t="n">
        <v>0</v>
      </c>
      <c r="G18" s="74" t="n">
        <v>0</v>
      </c>
      <c r="H18" s="123" t="n">
        <v>0</v>
      </c>
      <c r="I18" s="123" t="n">
        <v>0</v>
      </c>
      <c r="J18" s="74" t="n">
        <v>0</v>
      </c>
      <c r="K18" s="123" t="n">
        <v>0</v>
      </c>
      <c r="L18" s="123" t="n">
        <v>0</v>
      </c>
      <c r="M18" s="74" t="n">
        <v>0</v>
      </c>
      <c r="N18" s="123" t="n">
        <v>0</v>
      </c>
      <c r="O18" s="123" t="n">
        <v>0</v>
      </c>
      <c r="P18" s="74" t="n">
        <v>0</v>
      </c>
      <c r="Q18" s="126" t="n"/>
      <c r="R18" s="123" t="n">
        <v>0</v>
      </c>
      <c r="S18" s="87" t="n"/>
      <c r="T18" s="87" t="n"/>
      <c r="U18" s="123" t="n">
        <v>0</v>
      </c>
      <c r="V18" s="87" t="n"/>
      <c r="W18" s="87" t="n"/>
      <c r="X18" s="87" t="n"/>
      <c r="Y18" s="74" t="n">
        <v>0</v>
      </c>
      <c r="Z18" s="87" t="n"/>
      <c r="AA18" s="87" t="n"/>
      <c r="AB18" s="87" t="n"/>
      <c r="AC18" s="74" t="n">
        <v>0</v>
      </c>
    </row>
    <row r="19" ht="20" customHeight="1" s="83">
      <c r="A19" s="73" t="inlineStr">
        <is>
          <t>羅東門市</t>
        </is>
      </c>
      <c r="B19" s="124" t="n">
        <v>0</v>
      </c>
      <c r="C19" s="124" t="n">
        <v>0</v>
      </c>
      <c r="D19" s="74" t="n">
        <v>0</v>
      </c>
      <c r="E19" s="124" t="n">
        <v>0</v>
      </c>
      <c r="F19" s="124" t="n">
        <v>0</v>
      </c>
      <c r="G19" s="74" t="n">
        <v>0</v>
      </c>
      <c r="H19" s="124" t="n">
        <v>0</v>
      </c>
      <c r="I19" s="124" t="n">
        <v>0</v>
      </c>
      <c r="J19" s="74" t="n">
        <v>0</v>
      </c>
      <c r="K19" s="124" t="n">
        <v>0</v>
      </c>
      <c r="L19" s="124" t="n">
        <v>0</v>
      </c>
      <c r="M19" s="74" t="n">
        <v>0</v>
      </c>
      <c r="N19" s="124" t="n">
        <v>0</v>
      </c>
      <c r="O19" s="124" t="n">
        <v>0</v>
      </c>
      <c r="P19" s="74" t="n">
        <v>0</v>
      </c>
      <c r="Q19" s="126" t="n"/>
      <c r="R19" s="124" t="n">
        <v>0</v>
      </c>
      <c r="S19" s="50">
        <f>R19*0.85/0.3</f>
        <v/>
      </c>
      <c r="T19" s="50" t="n"/>
      <c r="U19" s="124" t="n">
        <v>0</v>
      </c>
      <c r="V19" s="50">
        <f>U19*0.85/0.3</f>
        <v/>
      </c>
      <c r="W19" s="50" t="n"/>
      <c r="X19" s="50" t="n"/>
      <c r="Y19" s="74" t="n">
        <v>0</v>
      </c>
      <c r="Z19" s="50" t="n"/>
      <c r="AA19" s="50" t="n"/>
      <c r="AB19" s="50" t="n"/>
      <c r="AC19" s="74" t="n">
        <v>0</v>
      </c>
    </row>
    <row r="20" ht="20" customHeight="1" s="83">
      <c r="A20" s="47" t="inlineStr">
        <is>
          <t>Total</t>
        </is>
      </c>
      <c r="B20" s="125" t="n">
        <v>0</v>
      </c>
      <c r="C20" s="125" t="n">
        <v>0</v>
      </c>
      <c r="D20" s="49" t="n">
        <v>0</v>
      </c>
      <c r="E20" s="125" t="n">
        <v>0</v>
      </c>
      <c r="F20" s="125" t="n">
        <v>0</v>
      </c>
      <c r="G20" s="49" t="n">
        <v>0</v>
      </c>
      <c r="H20" s="125" t="n">
        <v>0</v>
      </c>
      <c r="I20" s="125" t="n">
        <v>0</v>
      </c>
      <c r="J20" s="49" t="n">
        <v>0</v>
      </c>
      <c r="K20" s="125" t="n">
        <v>0</v>
      </c>
      <c r="L20" s="125" t="n">
        <v>0</v>
      </c>
      <c r="M20" s="49" t="n">
        <v>0</v>
      </c>
      <c r="N20" s="125" t="n">
        <v>0</v>
      </c>
      <c r="O20" s="125" t="n">
        <v>0</v>
      </c>
      <c r="P20" s="49" t="n">
        <v>0</v>
      </c>
      <c r="Q20" s="127" t="n"/>
      <c r="R20" s="125" t="n">
        <v>0</v>
      </c>
      <c r="S20" s="88" t="n"/>
      <c r="T20" s="88" t="n"/>
      <c r="U20" s="125" t="n">
        <v>0</v>
      </c>
      <c r="V20" s="88" t="n"/>
      <c r="W20" s="88" t="n"/>
      <c r="X20" s="88" t="n"/>
      <c r="Y20" s="49" t="n">
        <v>0</v>
      </c>
      <c r="Z20" s="88" t="n"/>
      <c r="AA20" s="88" t="n"/>
      <c r="AB20" s="88" t="n"/>
      <c r="AC20" s="49" t="n">
        <v>0</v>
      </c>
    </row>
    <row r="22" ht="42" customHeight="1" s="83">
      <c r="A22" s="71" t="inlineStr">
        <is>
          <t>2026
04/01~04/18</t>
        </is>
      </c>
      <c r="B22" s="86" t="inlineStr">
        <is>
          <t>CPU</t>
        </is>
      </c>
      <c r="C22" s="86" t="inlineStr">
        <is>
          <t>Mac ACPP+</t>
        </is>
      </c>
      <c r="D22" s="86" t="inlineStr">
        <is>
          <t>ACPP+搭售率</t>
        </is>
      </c>
      <c r="E22" s="86" t="inlineStr">
        <is>
          <t>Mac SACare</t>
        </is>
      </c>
      <c r="F22" s="86" t="inlineStr">
        <is>
          <t>SACare搭售率</t>
        </is>
      </c>
      <c r="G22" s="86" t="inlineStr">
        <is>
          <t>合計搭售率</t>
        </is>
      </c>
      <c r="H22" s="86" t="inlineStr">
        <is>
          <t>Watch</t>
        </is>
      </c>
      <c r="I22" s="86" t="inlineStr">
        <is>
          <t>Watch ACPP+</t>
        </is>
      </c>
      <c r="J22" s="86" t="inlineStr">
        <is>
          <t>ACPP+搭售率</t>
        </is>
      </c>
      <c r="K22" s="86" t="inlineStr">
        <is>
          <t>Watch SACare</t>
        </is>
      </c>
      <c r="L22" s="86" t="inlineStr">
        <is>
          <t>SACare搭售率</t>
        </is>
      </c>
      <c r="M22" s="86" t="inlineStr">
        <is>
          <t>合計搭售率</t>
        </is>
      </c>
      <c r="N22" s="86" t="inlineStr">
        <is>
          <t>iPad</t>
        </is>
      </c>
      <c r="O22" s="86" t="inlineStr">
        <is>
          <t>iPad ACPP+</t>
        </is>
      </c>
      <c r="P22" s="86" t="inlineStr">
        <is>
          <t>ACPP+搭售率</t>
        </is>
      </c>
      <c r="Q22" s="86" t="inlineStr">
        <is>
          <t>iPad SACare</t>
        </is>
      </c>
      <c r="R22" s="86" t="inlineStr">
        <is>
          <t>SACare搭售率</t>
        </is>
      </c>
      <c r="S22" s="86" t="inlineStr">
        <is>
          <t>合計搭售率</t>
        </is>
      </c>
      <c r="T22" s="86" t="inlineStr">
        <is>
          <t>iPhone</t>
        </is>
      </c>
      <c r="U22" s="86" t="inlineStr">
        <is>
          <t>iPhone ACPP+</t>
        </is>
      </c>
      <c r="V22" s="86" t="inlineStr">
        <is>
          <t>ACPP+搭售率</t>
        </is>
      </c>
      <c r="W22" s="86" t="inlineStr">
        <is>
          <t>iPhone SACare</t>
        </is>
      </c>
      <c r="X22" s="86" t="inlineStr">
        <is>
          <t>SACare搭售率</t>
        </is>
      </c>
      <c r="Y22" s="86" t="inlineStr">
        <is>
          <t>合計搭售率</t>
        </is>
      </c>
      <c r="Z22" s="86" t="inlineStr">
        <is>
          <t>iOS搭售率</t>
        </is>
      </c>
      <c r="AA22" s="86" t="inlineStr">
        <is>
          <t>Airpods</t>
        </is>
      </c>
      <c r="AB22" s="86" t="inlineStr">
        <is>
          <t>ACPP+</t>
        </is>
      </c>
      <c r="AC22" s="86" t="inlineStr">
        <is>
          <t>ACPP+搭售率</t>
        </is>
      </c>
      <c r="AD22" s="86" t="inlineStr">
        <is>
          <t>SACare</t>
        </is>
      </c>
      <c r="AE22" s="86" t="inlineStr">
        <is>
          <t>SACare搭售率</t>
        </is>
      </c>
      <c r="AF22" s="86" t="inlineStr">
        <is>
          <t>合計搭售率</t>
        </is>
      </c>
    </row>
    <row r="23" ht="20" customHeight="1" s="83">
      <c r="A23" s="41" t="inlineStr">
        <is>
          <t>士林門市</t>
        </is>
      </c>
      <c r="B23" s="123" t="n">
        <v>0</v>
      </c>
      <c r="C23" s="123" t="n">
        <v>0</v>
      </c>
      <c r="D23" s="44" t="n">
        <v>0</v>
      </c>
      <c r="E23" s="123" t="n">
        <v>0</v>
      </c>
      <c r="F23" s="44" t="n">
        <v>0</v>
      </c>
      <c r="G23" s="44" t="n">
        <v>0</v>
      </c>
      <c r="H23" s="123" t="n">
        <v>0</v>
      </c>
      <c r="I23" s="123" t="n">
        <v>0</v>
      </c>
      <c r="J23" s="44" t="n">
        <v>0</v>
      </c>
      <c r="K23" s="123" t="n">
        <v>0</v>
      </c>
      <c r="L23" s="44" t="n">
        <v>0</v>
      </c>
      <c r="M23" s="44" t="n">
        <v>0</v>
      </c>
      <c r="N23" s="123" t="n">
        <v>0</v>
      </c>
      <c r="O23" s="123" t="n">
        <v>0</v>
      </c>
      <c r="P23" s="44" t="n">
        <v>0</v>
      </c>
      <c r="Q23" s="123" t="n">
        <v>0</v>
      </c>
      <c r="R23" s="44" t="n">
        <v>0</v>
      </c>
      <c r="S23" s="44" t="n">
        <v>0</v>
      </c>
      <c r="T23" s="123" t="n">
        <v>0</v>
      </c>
      <c r="U23" s="123" t="n">
        <v>0</v>
      </c>
      <c r="V23" s="44" t="n">
        <v>0</v>
      </c>
      <c r="W23" s="123" t="n">
        <v>0</v>
      </c>
      <c r="X23" s="44" t="n">
        <v>0</v>
      </c>
      <c r="Y23" s="44" t="n">
        <v>0</v>
      </c>
      <c r="Z23" s="44" t="n">
        <v>0</v>
      </c>
      <c r="AA23" s="123" t="n">
        <v>0</v>
      </c>
      <c r="AB23" s="123" t="n">
        <v>0</v>
      </c>
      <c r="AC23" s="44" t="n">
        <v>0</v>
      </c>
      <c r="AD23" s="123" t="n">
        <v>0</v>
      </c>
      <c r="AE23" s="44" t="n">
        <v>0</v>
      </c>
      <c r="AF23" s="44" t="n">
        <v>0</v>
      </c>
    </row>
    <row r="24" ht="20" customHeight="1" s="83">
      <c r="A24" s="41" t="inlineStr">
        <is>
          <t>微風門市</t>
        </is>
      </c>
      <c r="B24" s="124" t="n">
        <v>0</v>
      </c>
      <c r="C24" s="124" t="n">
        <v>0</v>
      </c>
      <c r="D24" s="46" t="n">
        <v>0</v>
      </c>
      <c r="E24" s="124" t="n">
        <v>0</v>
      </c>
      <c r="F24" s="46" t="n">
        <v>0</v>
      </c>
      <c r="G24" s="46" t="n">
        <v>0</v>
      </c>
      <c r="H24" s="124" t="n">
        <v>0</v>
      </c>
      <c r="I24" s="124" t="n">
        <v>0</v>
      </c>
      <c r="J24" s="46" t="n">
        <v>0</v>
      </c>
      <c r="K24" s="124" t="n">
        <v>0</v>
      </c>
      <c r="L24" s="46" t="n">
        <v>0</v>
      </c>
      <c r="M24" s="46" t="n">
        <v>0</v>
      </c>
      <c r="N24" s="124" t="n">
        <v>0</v>
      </c>
      <c r="O24" s="124" t="n">
        <v>0</v>
      </c>
      <c r="P24" s="46" t="n">
        <v>0</v>
      </c>
      <c r="Q24" s="124" t="n">
        <v>0</v>
      </c>
      <c r="R24" s="46" t="n">
        <v>0</v>
      </c>
      <c r="S24" s="46" t="n">
        <v>0</v>
      </c>
      <c r="T24" s="124" t="n">
        <v>0</v>
      </c>
      <c r="U24" s="124" t="n">
        <v>0</v>
      </c>
      <c r="V24" s="46" t="n">
        <v>0</v>
      </c>
      <c r="W24" s="124" t="n">
        <v>0</v>
      </c>
      <c r="X24" s="46" t="n">
        <v>0</v>
      </c>
      <c r="Y24" s="46" t="n">
        <v>0</v>
      </c>
      <c r="Z24" s="46" t="n">
        <v>0</v>
      </c>
      <c r="AA24" s="124" t="n">
        <v>0</v>
      </c>
      <c r="AB24" s="124" t="n">
        <v>0</v>
      </c>
      <c r="AC24" s="46" t="n">
        <v>0</v>
      </c>
      <c r="AD24" s="124" t="n">
        <v>0</v>
      </c>
      <c r="AE24" s="46" t="n">
        <v>0</v>
      </c>
      <c r="AF24" s="46" t="n">
        <v>0</v>
      </c>
    </row>
    <row r="25" ht="20" customHeight="1" s="83">
      <c r="A25" s="41" t="inlineStr">
        <is>
          <t>美麗華門市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阿波羅門市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大葉高島屋門市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羅東門市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7" t="inlineStr">
        <is>
          <t>Total</t>
        </is>
      </c>
      <c r="B29" s="125" t="n">
        <v>0</v>
      </c>
      <c r="C29" s="125" t="n">
        <v>0</v>
      </c>
      <c r="D29" s="49" t="n">
        <v>0</v>
      </c>
      <c r="E29" s="125" t="n">
        <v>0</v>
      </c>
      <c r="F29" s="49" t="n">
        <v>0</v>
      </c>
      <c r="G29" s="49" t="n">
        <v>0</v>
      </c>
      <c r="H29" s="125" t="n">
        <v>0</v>
      </c>
      <c r="I29" s="125" t="n">
        <v>0</v>
      </c>
      <c r="J29" s="49" t="n">
        <v>0</v>
      </c>
      <c r="K29" s="125" t="n">
        <v>0</v>
      </c>
      <c r="L29" s="49" t="n">
        <v>0</v>
      </c>
      <c r="M29" s="49" t="n">
        <v>0</v>
      </c>
      <c r="N29" s="125" t="n">
        <v>0</v>
      </c>
      <c r="O29" s="125" t="n">
        <v>0</v>
      </c>
      <c r="P29" s="49" t="n">
        <v>0</v>
      </c>
      <c r="Q29" s="125" t="n">
        <v>0</v>
      </c>
      <c r="R29" s="49" t="n">
        <v>0</v>
      </c>
      <c r="S29" s="49" t="n">
        <v>0</v>
      </c>
      <c r="T29" s="125" t="n">
        <v>0</v>
      </c>
      <c r="U29" s="125" t="n">
        <v>0</v>
      </c>
      <c r="V29" s="49" t="n">
        <v>0</v>
      </c>
      <c r="W29" s="125" t="n">
        <v>0</v>
      </c>
      <c r="X29" s="49" t="n">
        <v>0</v>
      </c>
      <c r="Y29" s="49" t="n">
        <v>0</v>
      </c>
      <c r="Z29" s="49" t="n">
        <v>0</v>
      </c>
      <c r="AA29" s="125" t="n">
        <v>0</v>
      </c>
      <c r="AB29" s="125" t="n">
        <v>0</v>
      </c>
      <c r="AC29" s="49" t="n">
        <v>0</v>
      </c>
      <c r="AD29" s="125" t="n">
        <v>0</v>
      </c>
      <c r="AE29" s="49" t="n">
        <v>0</v>
      </c>
      <c r="AF29" s="49" t="n">
        <v>0</v>
      </c>
    </row>
    <row r="31" ht="42" customHeight="1" s="83">
      <c r="A31" s="70" t="inlineStr">
        <is>
          <t>2026
03/01~03/18</t>
        </is>
      </c>
      <c r="B31" s="86" t="inlineStr">
        <is>
          <t>CPU</t>
        </is>
      </c>
      <c r="C31" s="86" t="inlineStr">
        <is>
          <t>Mac ACPP+</t>
        </is>
      </c>
      <c r="D31" s="86" t="inlineStr">
        <is>
          <t>ACPP+搭售率</t>
        </is>
      </c>
      <c r="E31" s="86" t="inlineStr">
        <is>
          <t>Mac SACare</t>
        </is>
      </c>
      <c r="F31" s="86" t="inlineStr">
        <is>
          <t>SACare搭售率</t>
        </is>
      </c>
      <c r="G31" s="86" t="inlineStr">
        <is>
          <t>合計搭售率</t>
        </is>
      </c>
      <c r="H31" s="86" t="inlineStr">
        <is>
          <t>Watch</t>
        </is>
      </c>
      <c r="I31" s="86" t="inlineStr">
        <is>
          <t>Watch ACPP+</t>
        </is>
      </c>
      <c r="J31" s="86" t="inlineStr">
        <is>
          <t>ACPP+搭售率</t>
        </is>
      </c>
      <c r="K31" s="86" t="inlineStr">
        <is>
          <t>Watch SACare</t>
        </is>
      </c>
      <c r="L31" s="86" t="inlineStr">
        <is>
          <t>SACare搭售率</t>
        </is>
      </c>
      <c r="M31" s="86" t="inlineStr">
        <is>
          <t>合計搭售率</t>
        </is>
      </c>
      <c r="N31" s="86" t="inlineStr">
        <is>
          <t>iPad</t>
        </is>
      </c>
      <c r="O31" s="86" t="inlineStr">
        <is>
          <t>iPad ACPP+</t>
        </is>
      </c>
      <c r="P31" s="86" t="inlineStr">
        <is>
          <t>ACPP+搭售率</t>
        </is>
      </c>
      <c r="Q31" s="86" t="inlineStr">
        <is>
          <t>iPad SACare</t>
        </is>
      </c>
      <c r="R31" s="86" t="inlineStr">
        <is>
          <t>SACare搭售率</t>
        </is>
      </c>
      <c r="S31" s="86" t="inlineStr">
        <is>
          <t>合計搭售率</t>
        </is>
      </c>
      <c r="T31" s="86" t="inlineStr">
        <is>
          <t>iPhone</t>
        </is>
      </c>
      <c r="U31" s="86" t="inlineStr">
        <is>
          <t>iPhone ACPP+</t>
        </is>
      </c>
      <c r="V31" s="86" t="inlineStr">
        <is>
          <t>ACPP+搭售率</t>
        </is>
      </c>
      <c r="W31" s="86" t="inlineStr">
        <is>
          <t>iPhone SACare</t>
        </is>
      </c>
      <c r="X31" s="86" t="inlineStr">
        <is>
          <t>SACare搭售率</t>
        </is>
      </c>
      <c r="Y31" s="86" t="inlineStr">
        <is>
          <t>合計搭售率</t>
        </is>
      </c>
      <c r="Z31" s="86" t="inlineStr">
        <is>
          <t>iOS搭售率</t>
        </is>
      </c>
      <c r="AA31" s="86" t="inlineStr">
        <is>
          <t>Airpods</t>
        </is>
      </c>
      <c r="AB31" s="86" t="inlineStr">
        <is>
          <t>ACPP+</t>
        </is>
      </c>
      <c r="AC31" s="86" t="inlineStr">
        <is>
          <t>ACPP+搭售率</t>
        </is>
      </c>
      <c r="AD31" s="86" t="inlineStr">
        <is>
          <t>SACare</t>
        </is>
      </c>
      <c r="AE31" s="86" t="inlineStr">
        <is>
          <t>SACare搭售率</t>
        </is>
      </c>
      <c r="AF31" s="86" t="inlineStr">
        <is>
          <t>合計搭售率</t>
        </is>
      </c>
    </row>
    <row r="32" ht="20" customHeight="1" s="83">
      <c r="A32" s="41" t="inlineStr">
        <is>
          <t>士林門市</t>
        </is>
      </c>
      <c r="B32" s="123" t="n">
        <v>0</v>
      </c>
      <c r="C32" s="123" t="n">
        <v>0</v>
      </c>
      <c r="D32" s="44" t="n">
        <v>0</v>
      </c>
      <c r="E32" s="123" t="n">
        <v>0</v>
      </c>
      <c r="F32" s="44" t="n">
        <v>0</v>
      </c>
      <c r="G32" s="44" t="n">
        <v>0</v>
      </c>
      <c r="H32" s="123" t="n">
        <v>0</v>
      </c>
      <c r="I32" s="123" t="n">
        <v>0</v>
      </c>
      <c r="J32" s="44" t="n">
        <v>0</v>
      </c>
      <c r="K32" s="123" t="n">
        <v>0</v>
      </c>
      <c r="L32" s="44" t="n">
        <v>0</v>
      </c>
      <c r="M32" s="44" t="n">
        <v>0</v>
      </c>
      <c r="N32" s="123" t="n">
        <v>0</v>
      </c>
      <c r="O32" s="123" t="n">
        <v>0</v>
      </c>
      <c r="P32" s="44" t="n">
        <v>0</v>
      </c>
      <c r="Q32" s="123" t="n">
        <v>0</v>
      </c>
      <c r="R32" s="44" t="n">
        <v>0</v>
      </c>
      <c r="S32" s="44" t="n">
        <v>0</v>
      </c>
      <c r="T32" s="123" t="n">
        <v>0</v>
      </c>
      <c r="U32" s="123" t="n">
        <v>0</v>
      </c>
      <c r="V32" s="44" t="n">
        <v>0</v>
      </c>
      <c r="W32" s="123" t="n">
        <v>0</v>
      </c>
      <c r="X32" s="44" t="n">
        <v>0</v>
      </c>
      <c r="Y32" s="44" t="n">
        <v>0</v>
      </c>
      <c r="Z32" s="44" t="n">
        <v>0</v>
      </c>
      <c r="AA32" s="123" t="n">
        <v>0</v>
      </c>
      <c r="AB32" s="123" t="n">
        <v>0</v>
      </c>
      <c r="AC32" s="44" t="n">
        <v>0</v>
      </c>
      <c r="AD32" s="123" t="n">
        <v>0</v>
      </c>
      <c r="AE32" s="44" t="n">
        <v>0</v>
      </c>
      <c r="AF32" s="44" t="n">
        <v>0</v>
      </c>
    </row>
    <row r="33" ht="20" customHeight="1" s="83">
      <c r="A33" s="41" t="inlineStr">
        <is>
          <t>微風門市</t>
        </is>
      </c>
      <c r="B33" s="124" t="n">
        <v>0</v>
      </c>
      <c r="C33" s="124" t="n">
        <v>0</v>
      </c>
      <c r="D33" s="46" t="n">
        <v>0</v>
      </c>
      <c r="E33" s="124" t="n">
        <v>0</v>
      </c>
      <c r="F33" s="46" t="n">
        <v>0</v>
      </c>
      <c r="G33" s="46" t="n">
        <v>0</v>
      </c>
      <c r="H33" s="124" t="n">
        <v>0</v>
      </c>
      <c r="I33" s="124" t="n">
        <v>0</v>
      </c>
      <c r="J33" s="46" t="n">
        <v>0</v>
      </c>
      <c r="K33" s="124" t="n">
        <v>0</v>
      </c>
      <c r="L33" s="46" t="n">
        <v>0</v>
      </c>
      <c r="M33" s="46" t="n">
        <v>0</v>
      </c>
      <c r="N33" s="124" t="n">
        <v>0</v>
      </c>
      <c r="O33" s="124" t="n">
        <v>0</v>
      </c>
      <c r="P33" s="46" t="n">
        <v>0</v>
      </c>
      <c r="Q33" s="124" t="n">
        <v>0</v>
      </c>
      <c r="R33" s="46" t="n">
        <v>0</v>
      </c>
      <c r="S33" s="46" t="n">
        <v>0</v>
      </c>
      <c r="T33" s="124" t="n">
        <v>0</v>
      </c>
      <c r="U33" s="124" t="n">
        <v>0</v>
      </c>
      <c r="V33" s="46" t="n">
        <v>0</v>
      </c>
      <c r="W33" s="124" t="n">
        <v>0</v>
      </c>
      <c r="X33" s="46" t="n">
        <v>0</v>
      </c>
      <c r="Y33" s="46" t="n">
        <v>0</v>
      </c>
      <c r="Z33" s="46" t="n">
        <v>0</v>
      </c>
      <c r="AA33" s="124" t="n">
        <v>0</v>
      </c>
      <c r="AB33" s="124" t="n">
        <v>0</v>
      </c>
      <c r="AC33" s="46" t="n">
        <v>0</v>
      </c>
      <c r="AD33" s="124" t="n">
        <v>0</v>
      </c>
      <c r="AE33" s="46" t="n">
        <v>0</v>
      </c>
      <c r="AF33" s="46" t="n">
        <v>0</v>
      </c>
    </row>
    <row r="34" ht="20" customHeight="1" s="83">
      <c r="A34" s="41" t="inlineStr">
        <is>
          <t>美麗華門市</t>
        </is>
      </c>
      <c r="B34" s="123" t="n">
        <v>0</v>
      </c>
      <c r="C34" s="123" t="n">
        <v>0</v>
      </c>
      <c r="D34" s="44" t="n">
        <v>0</v>
      </c>
      <c r="E34" s="123" t="n">
        <v>0</v>
      </c>
      <c r="F34" s="44" t="n">
        <v>0</v>
      </c>
      <c r="G34" s="44" t="n">
        <v>0</v>
      </c>
      <c r="H34" s="123" t="n">
        <v>0</v>
      </c>
      <c r="I34" s="123" t="n">
        <v>0</v>
      </c>
      <c r="J34" s="44" t="n">
        <v>0</v>
      </c>
      <c r="K34" s="123" t="n">
        <v>0</v>
      </c>
      <c r="L34" s="44" t="n">
        <v>0</v>
      </c>
      <c r="M34" s="44" t="n">
        <v>0</v>
      </c>
      <c r="N34" s="123" t="n">
        <v>0</v>
      </c>
      <c r="O34" s="123" t="n">
        <v>0</v>
      </c>
      <c r="P34" s="44" t="n">
        <v>0</v>
      </c>
      <c r="Q34" s="123" t="n">
        <v>0</v>
      </c>
      <c r="R34" s="44" t="n">
        <v>0</v>
      </c>
      <c r="S34" s="44" t="n">
        <v>0</v>
      </c>
      <c r="T34" s="123" t="n">
        <v>0</v>
      </c>
      <c r="U34" s="123" t="n">
        <v>0</v>
      </c>
      <c r="V34" s="44" t="n">
        <v>0</v>
      </c>
      <c r="W34" s="123" t="n">
        <v>0</v>
      </c>
      <c r="X34" s="44" t="n">
        <v>0</v>
      </c>
      <c r="Y34" s="44" t="n">
        <v>0</v>
      </c>
      <c r="Z34" s="44" t="n">
        <v>0</v>
      </c>
      <c r="AA34" s="123" t="n">
        <v>0</v>
      </c>
      <c r="AB34" s="123" t="n">
        <v>0</v>
      </c>
      <c r="AC34" s="44" t="n">
        <v>0</v>
      </c>
      <c r="AD34" s="123" t="n">
        <v>0</v>
      </c>
      <c r="AE34" s="44" t="n">
        <v>0</v>
      </c>
      <c r="AF34" s="44" t="n">
        <v>0</v>
      </c>
    </row>
    <row r="35" ht="20" customHeight="1" s="83">
      <c r="A35" s="41" t="inlineStr">
        <is>
          <t>阿波羅門市</t>
        </is>
      </c>
      <c r="B35" s="124" t="n">
        <v>0</v>
      </c>
      <c r="C35" s="124" t="n">
        <v>0</v>
      </c>
      <c r="D35" s="46" t="n">
        <v>0</v>
      </c>
      <c r="E35" s="124" t="n">
        <v>0</v>
      </c>
      <c r="F35" s="46" t="n">
        <v>0</v>
      </c>
      <c r="G35" s="46" t="n">
        <v>0</v>
      </c>
      <c r="H35" s="124" t="n">
        <v>0</v>
      </c>
      <c r="I35" s="124" t="n">
        <v>0</v>
      </c>
      <c r="J35" s="46" t="n">
        <v>0</v>
      </c>
      <c r="K35" s="124" t="n">
        <v>0</v>
      </c>
      <c r="L35" s="46" t="n">
        <v>0</v>
      </c>
      <c r="M35" s="46" t="n">
        <v>0</v>
      </c>
      <c r="N35" s="124" t="n">
        <v>0</v>
      </c>
      <c r="O35" s="124" t="n">
        <v>0</v>
      </c>
      <c r="P35" s="46" t="n">
        <v>0</v>
      </c>
      <c r="Q35" s="124" t="n">
        <v>0</v>
      </c>
      <c r="R35" s="46" t="n">
        <v>0</v>
      </c>
      <c r="S35" s="46" t="n">
        <v>0</v>
      </c>
      <c r="T35" s="124" t="n">
        <v>0</v>
      </c>
      <c r="U35" s="124" t="n">
        <v>0</v>
      </c>
      <c r="V35" s="46" t="n">
        <v>0</v>
      </c>
      <c r="W35" s="124" t="n">
        <v>0</v>
      </c>
      <c r="X35" s="46" t="n">
        <v>0</v>
      </c>
      <c r="Y35" s="46" t="n">
        <v>0</v>
      </c>
      <c r="Z35" s="46" t="n">
        <v>0</v>
      </c>
      <c r="AA35" s="124" t="n">
        <v>0</v>
      </c>
      <c r="AB35" s="124" t="n">
        <v>0</v>
      </c>
      <c r="AC35" s="46" t="n">
        <v>0</v>
      </c>
      <c r="AD35" s="124" t="n">
        <v>0</v>
      </c>
      <c r="AE35" s="46" t="n">
        <v>0</v>
      </c>
      <c r="AF35" s="46" t="n">
        <v>0</v>
      </c>
    </row>
    <row r="36" ht="20" customHeight="1" s="83">
      <c r="A36" s="41" t="inlineStr">
        <is>
          <t>大葉高島屋門市</t>
        </is>
      </c>
      <c r="B36" s="123" t="n">
        <v>0</v>
      </c>
      <c r="C36" s="123" t="n">
        <v>0</v>
      </c>
      <c r="D36" s="44" t="n">
        <v>0</v>
      </c>
      <c r="E36" s="123" t="n">
        <v>0</v>
      </c>
      <c r="F36" s="44" t="n">
        <v>0</v>
      </c>
      <c r="G36" s="44" t="n">
        <v>0</v>
      </c>
      <c r="H36" s="123" t="n">
        <v>0</v>
      </c>
      <c r="I36" s="123" t="n">
        <v>0</v>
      </c>
      <c r="J36" s="44" t="n">
        <v>0</v>
      </c>
      <c r="K36" s="123" t="n">
        <v>0</v>
      </c>
      <c r="L36" s="44" t="n">
        <v>0</v>
      </c>
      <c r="M36" s="44" t="n">
        <v>0</v>
      </c>
      <c r="N36" s="123" t="n">
        <v>0</v>
      </c>
      <c r="O36" s="123" t="n">
        <v>0</v>
      </c>
      <c r="P36" s="44" t="n">
        <v>0</v>
      </c>
      <c r="Q36" s="123" t="n">
        <v>0</v>
      </c>
      <c r="R36" s="44" t="n">
        <v>0</v>
      </c>
      <c r="S36" s="44" t="n">
        <v>0</v>
      </c>
      <c r="T36" s="123" t="n">
        <v>0</v>
      </c>
      <c r="U36" s="123" t="n">
        <v>0</v>
      </c>
      <c r="V36" s="44" t="n">
        <v>0</v>
      </c>
      <c r="W36" s="123" t="n">
        <v>0</v>
      </c>
      <c r="X36" s="44" t="n">
        <v>0</v>
      </c>
      <c r="Y36" s="44" t="n">
        <v>0</v>
      </c>
      <c r="Z36" s="44" t="n">
        <v>0</v>
      </c>
      <c r="AA36" s="123" t="n">
        <v>0</v>
      </c>
      <c r="AB36" s="123" t="n">
        <v>0</v>
      </c>
      <c r="AC36" s="44" t="n">
        <v>0</v>
      </c>
      <c r="AD36" s="123" t="n">
        <v>0</v>
      </c>
      <c r="AE36" s="44" t="n">
        <v>0</v>
      </c>
      <c r="AF36" s="44" t="n">
        <v>0</v>
      </c>
    </row>
    <row r="37" ht="20" customHeight="1" s="83">
      <c r="A37" s="41" t="inlineStr">
        <is>
          <t>羅東門市</t>
        </is>
      </c>
      <c r="B37" s="124" t="n">
        <v>0</v>
      </c>
      <c r="C37" s="124" t="n">
        <v>0</v>
      </c>
      <c r="D37" s="46" t="n">
        <v>0</v>
      </c>
      <c r="E37" s="124" t="n">
        <v>0</v>
      </c>
      <c r="F37" s="46" t="n">
        <v>0</v>
      </c>
      <c r="G37" s="46" t="n">
        <v>0</v>
      </c>
      <c r="H37" s="124" t="n">
        <v>0</v>
      </c>
      <c r="I37" s="124" t="n">
        <v>0</v>
      </c>
      <c r="J37" s="46" t="n">
        <v>0</v>
      </c>
      <c r="K37" s="124" t="n">
        <v>0</v>
      </c>
      <c r="L37" s="46" t="n">
        <v>0</v>
      </c>
      <c r="M37" s="46" t="n">
        <v>0</v>
      </c>
      <c r="N37" s="124" t="n">
        <v>0</v>
      </c>
      <c r="O37" s="124" t="n">
        <v>0</v>
      </c>
      <c r="P37" s="46" t="n">
        <v>0</v>
      </c>
      <c r="Q37" s="124" t="n">
        <v>0</v>
      </c>
      <c r="R37" s="46" t="n">
        <v>0</v>
      </c>
      <c r="S37" s="46" t="n">
        <v>0</v>
      </c>
      <c r="T37" s="124" t="n">
        <v>0</v>
      </c>
      <c r="U37" s="124" t="n">
        <v>0</v>
      </c>
      <c r="V37" s="46" t="n">
        <v>0</v>
      </c>
      <c r="W37" s="124" t="n">
        <v>0</v>
      </c>
      <c r="X37" s="46" t="n">
        <v>0</v>
      </c>
      <c r="Y37" s="46" t="n">
        <v>0</v>
      </c>
      <c r="Z37" s="46" t="n">
        <v>0</v>
      </c>
      <c r="AA37" s="124" t="n">
        <v>0</v>
      </c>
      <c r="AB37" s="124" t="n">
        <v>0</v>
      </c>
      <c r="AC37" s="46" t="n">
        <v>0</v>
      </c>
      <c r="AD37" s="124" t="n">
        <v>0</v>
      </c>
      <c r="AE37" s="46" t="n">
        <v>0</v>
      </c>
      <c r="AF37" s="46" t="n">
        <v>0</v>
      </c>
    </row>
    <row r="38" ht="20" customHeight="1" s="83">
      <c r="A38" s="47" t="inlineStr">
        <is>
          <t>Total</t>
        </is>
      </c>
      <c r="B38" s="125" t="n">
        <v>0</v>
      </c>
      <c r="C38" s="125" t="n">
        <v>0</v>
      </c>
      <c r="D38" s="49" t="n">
        <v>0</v>
      </c>
      <c r="E38" s="125" t="n">
        <v>0</v>
      </c>
      <c r="F38" s="49" t="n">
        <v>0</v>
      </c>
      <c r="G38" s="49" t="n">
        <v>0</v>
      </c>
      <c r="H38" s="125" t="n">
        <v>0</v>
      </c>
      <c r="I38" s="125" t="n">
        <v>0</v>
      </c>
      <c r="J38" s="49" t="n">
        <v>0</v>
      </c>
      <c r="K38" s="125" t="n">
        <v>0</v>
      </c>
      <c r="L38" s="49" t="n">
        <v>0</v>
      </c>
      <c r="M38" s="49" t="n">
        <v>0</v>
      </c>
      <c r="N38" s="125" t="n">
        <v>0</v>
      </c>
      <c r="O38" s="125" t="n">
        <v>0</v>
      </c>
      <c r="P38" s="49" t="n">
        <v>0</v>
      </c>
      <c r="Q38" s="125" t="n">
        <v>0</v>
      </c>
      <c r="R38" s="49" t="n">
        <v>0</v>
      </c>
      <c r="S38" s="49" t="n">
        <v>0</v>
      </c>
      <c r="T38" s="125" t="n">
        <v>0</v>
      </c>
      <c r="U38" s="125" t="n">
        <v>0</v>
      </c>
      <c r="V38" s="49" t="n">
        <v>0</v>
      </c>
      <c r="W38" s="125" t="n">
        <v>0</v>
      </c>
      <c r="X38" s="49" t="n">
        <v>0</v>
      </c>
      <c r="Y38" s="49" t="n">
        <v>0</v>
      </c>
      <c r="Z38" s="49" t="n">
        <v>0</v>
      </c>
      <c r="AA38" s="125" t="n">
        <v>0</v>
      </c>
      <c r="AB38" s="125" t="n">
        <v>0</v>
      </c>
      <c r="AC38" s="49" t="n">
        <v>0</v>
      </c>
      <c r="AD38" s="125" t="n">
        <v>0</v>
      </c>
      <c r="AE38" s="49" t="n">
        <v>0</v>
      </c>
      <c r="AF38" s="49" t="n">
        <v>0</v>
      </c>
    </row>
  </sheetData>
  <mergeCells count="2">
    <mergeCell ref="A1:AH1"/>
    <mergeCell ref="Q13:Q20"/>
  </mergeCells>
  <conditionalFormatting sqref="D12 D14:D19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D14:D20">
    <cfRule type="cellIs" priority="27" operator="greaterThan" dxfId="1">
      <formula>0</formula>
    </cfRule>
    <cfRule type="cellIs" priority="28" operator="lessThan" dxfId="0">
      <formula>0</formula>
    </cfRule>
  </conditionalFormatting>
  <conditionalFormatting sqref="F4:F10">
    <cfRule type="cellIs" priority="43" operator="greaterThan" dxfId="3">
      <formula>0</formula>
    </cfRule>
    <cfRule type="cellIs" priority="44" operator="lessThan" dxfId="2">
      <formula>0</formula>
    </cfRule>
    <cfRule type="cellIs" priority="53" operator="greaterThan" dxfId="1">
      <formula>0</formula>
    </cfRule>
    <cfRule type="cellIs" priority="54" operator="lessThan" dxfId="0">
      <formula>0</formula>
    </cfRule>
  </conditionalFormatting>
  <conditionalFormatting sqref="G12 G14:G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G14:G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I4:I10">
    <cfRule type="cellIs" priority="45" operator="greaterThan" dxfId="3">
      <formula>0</formula>
    </cfRule>
    <cfRule type="cellIs" priority="46" operator="lessThan" dxfId="2">
      <formula>0</formula>
    </cfRule>
    <cfRule type="cellIs" priority="55" operator="greaterThan" dxfId="1">
      <formula>0</formula>
    </cfRule>
    <cfRule type="cellIs" priority="56" operator="lessThan" dxfId="0">
      <formula>0</formula>
    </cfRule>
  </conditionalFormatting>
  <conditionalFormatting sqref="J12 J14:J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J14:J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L4:L10 O4:O10">
    <cfRule type="cellIs" priority="47" operator="greaterThan" dxfId="3">
      <formula>0</formula>
    </cfRule>
    <cfRule type="cellIs" priority="48" operator="lessThan" dxfId="2">
      <formula>0</formula>
    </cfRule>
    <cfRule type="cellIs" priority="57" operator="greaterThan" dxfId="1">
      <formula>0</formula>
    </cfRule>
    <cfRule type="cellIs" priority="58" operator="lessThan" dxfId="0">
      <formula>0</formula>
    </cfRule>
  </conditionalFormatting>
  <conditionalFormatting sqref="M12 M14:M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M14:M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P14:P20">
    <cfRule type="cellIs" priority="17" operator="greaterThan" dxfId="1">
      <formula>0</formula>
    </cfRule>
    <cfRule type="cellIs" priority="18" operator="lessThan" dxfId="0">
      <formula>0</formula>
    </cfRule>
  </conditionalFormatting>
  <conditionalFormatting sqref="P12:Q12 P14:P19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R4:R10">
    <cfRule type="cellIs" priority="49" operator="greaterThan" dxfId="3">
      <formula>0</formula>
    </cfRule>
    <cfRule type="cellIs" priority="50" operator="lessThan" dxfId="2">
      <formula>0</formula>
    </cfRule>
    <cfRule type="cellIs" priority="59" operator="greaterThan" dxfId="1">
      <formula>0</formula>
    </cfRule>
    <cfRule type="cellIs" priority="60" operator="lessThan" dxfId="0">
      <formula>0</formula>
    </cfRule>
  </conditionalFormatting>
  <conditionalFormatting sqref="S14:S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U4:U9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U4:U10">
    <cfRule type="cellIs" priority="61" operator="greaterThan" dxfId="1">
      <formula>0</formula>
    </cfRule>
    <cfRule type="cellIs" priority="62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X19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Y14:Y19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Y14:Y20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AA19"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AC14:AC19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AC14:AC20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AD4:AD9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AD4:AD10">
    <cfRule type="cellIs" priority="41" operator="greaterThan" dxfId="1">
      <formula>0</formula>
    </cfRule>
    <cfRule type="cellIs" priority="42" operator="lessThan" dxfId="0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75B6"/>
    <outlinePr summaryBelow="1" summaryRight="1"/>
    <pageSetUpPr/>
  </sheetPr>
  <dimension ref="A1:AF38"/>
  <sheetViews>
    <sheetView showGridLines="0" zoomScale="75" zoomScaleNormal="108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Z16" sqref="Z16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7"/>
    <col width="13.796875" bestFit="1" customWidth="1" style="83" min="28" max="28"/>
    <col width="9.59765625" bestFit="1" customWidth="1" style="83" min="29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1" ht="14" customHeight="1" s="83">
      <c r="A1" s="111" t="inlineStr">
        <is>
          <t>去年同期對照  ·  本月 2026/04/01~04/18  vs  去年同期 2025/04/01~04/18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Y1" s="135" t="n"/>
      <c r="Z1" s="135" t="n"/>
      <c r="AA1" s="135" t="n"/>
      <c r="AB1" s="135" t="n"/>
      <c r="AC1" s="135" t="n"/>
      <c r="AD1" s="135" t="n"/>
      <c r="AE1" s="135" t="n"/>
      <c r="AF1" s="135" t="n"/>
    </row>
    <row r="2" ht="36" customHeight="1" s="83">
      <c r="A2" s="105" t="n"/>
      <c r="B2" s="105" t="inlineStr">
        <is>
          <t>總業績(未加SA Care)</t>
        </is>
      </c>
      <c r="C2" s="105" t="n"/>
      <c r="D2" s="105" t="n"/>
      <c r="E2" s="105" t="inlineStr">
        <is>
          <t>3PP(未加SA Care)</t>
        </is>
      </c>
      <c r="F2" s="105" t="n"/>
      <c r="G2" s="105" t="n"/>
      <c r="H2" s="105" t="inlineStr">
        <is>
          <t>SA Care</t>
        </is>
      </c>
      <c r="I2" s="105" t="n"/>
      <c r="J2" s="105" t="n"/>
      <c r="K2" s="105" t="inlineStr">
        <is>
          <t>AC</t>
        </is>
      </c>
      <c r="L2" s="105" t="n"/>
      <c r="M2" s="105" t="n"/>
      <c r="N2" s="105" t="inlineStr">
        <is>
          <t>總業績</t>
        </is>
      </c>
      <c r="O2" s="105" t="n"/>
      <c r="P2" s="105" t="n"/>
      <c r="Q2" s="105" t="inlineStr">
        <is>
          <t>3PP</t>
        </is>
      </c>
      <c r="R2" s="105" t="n"/>
      <c r="S2" s="105" t="n"/>
      <c r="T2" s="105" t="inlineStr">
        <is>
          <t>3PP搭售率(未加Care)</t>
        </is>
      </c>
      <c r="U2" s="105" t="inlineStr">
        <is>
          <t>3PP搭售率(未加Care)</t>
        </is>
      </c>
      <c r="V2" s="105" t="inlineStr">
        <is>
          <t>SA Care搭售率</t>
        </is>
      </c>
      <c r="W2" s="105" t="inlineStr">
        <is>
          <t>SA Care搭售率</t>
        </is>
      </c>
      <c r="X2" s="105" t="inlineStr">
        <is>
          <t>AC搭售率</t>
        </is>
      </c>
      <c r="Y2" s="105" t="inlineStr">
        <is>
          <t>AC搭售率</t>
        </is>
      </c>
      <c r="Z2" s="105" t="inlineStr">
        <is>
          <t>禮券金額</t>
        </is>
      </c>
      <c r="AA2" s="105" t="n"/>
      <c r="AB2" s="105" t="n"/>
      <c r="AC2" s="105" t="inlineStr">
        <is>
          <t>總業績差異</t>
        </is>
      </c>
      <c r="AD2" s="105" t="inlineStr">
        <is>
          <t>3PP(未加SA Care)差異</t>
        </is>
      </c>
      <c r="AE2" s="105" t="inlineStr">
        <is>
          <t>SA Care</t>
        </is>
      </c>
      <c r="AF2" s="105" t="inlineStr">
        <is>
          <t>AC</t>
        </is>
      </c>
    </row>
    <row r="3" ht="52" customHeight="1" s="83">
      <c r="A3" s="86" t="n"/>
      <c r="B3" s="70" t="inlineStr">
        <is>
          <t>總業績
(未加SA Care)
2025
04/01~04/18</t>
        </is>
      </c>
      <c r="C3" s="71" t="inlineStr">
        <is>
          <t>總業績
(未加SA Care)
2026
04/01~04/18</t>
        </is>
      </c>
      <c r="D3" s="86" t="inlineStr">
        <is>
          <t>較上週比</t>
        </is>
      </c>
      <c r="E3" s="70" t="inlineStr">
        <is>
          <t>3PP
(未加SA Care)
2025
04/01~04/18</t>
        </is>
      </c>
      <c r="F3" s="71" t="inlineStr">
        <is>
          <t>3PP
(未加SA Care)
2026
04/01~04/18</t>
        </is>
      </c>
      <c r="G3" s="86" t="inlineStr">
        <is>
          <t>較上週比</t>
        </is>
      </c>
      <c r="H3" s="70" t="inlineStr">
        <is>
          <t>SA Care
2025
04/01~04/18</t>
        </is>
      </c>
      <c r="I3" s="71" t="inlineStr">
        <is>
          <t>SA Care
2026
04/01~04/18</t>
        </is>
      </c>
      <c r="J3" s="86" t="inlineStr">
        <is>
          <t>較上週比</t>
        </is>
      </c>
      <c r="K3" s="70" t="inlineStr">
        <is>
          <t>AC
2025
04/01~04/18</t>
        </is>
      </c>
      <c r="L3" s="71" t="inlineStr">
        <is>
          <t>AC
2026
04/01~04/18</t>
        </is>
      </c>
      <c r="M3" s="86" t="inlineStr">
        <is>
          <t>較上週比</t>
        </is>
      </c>
      <c r="N3" s="70" t="inlineStr">
        <is>
          <t>總業績
2025
04/01~04/18</t>
        </is>
      </c>
      <c r="O3" s="71" t="inlineStr">
        <is>
          <t>總業績
2026
04/01~04/18</t>
        </is>
      </c>
      <c r="P3" s="86" t="inlineStr">
        <is>
          <t>較上週比</t>
        </is>
      </c>
      <c r="Q3" s="70" t="inlineStr">
        <is>
          <t>3PP
2025
04/01~04/18</t>
        </is>
      </c>
      <c r="R3" s="71" t="inlineStr">
        <is>
          <t>3PP
2026
04/01~04/18</t>
        </is>
      </c>
      <c r="S3" s="86" t="inlineStr">
        <is>
          <t>較上週比</t>
        </is>
      </c>
      <c r="T3" s="70" t="inlineStr">
        <is>
          <t>2025
04/01~04/18</t>
        </is>
      </c>
      <c r="U3" s="71" t="inlineStr">
        <is>
          <t>2026
04/01~04/18</t>
        </is>
      </c>
      <c r="V3" s="70" t="inlineStr">
        <is>
          <t>2025
04/01~04/18</t>
        </is>
      </c>
      <c r="W3" s="71" t="inlineStr">
        <is>
          <t>2026
04/01~04/18</t>
        </is>
      </c>
      <c r="X3" s="70" t="inlineStr">
        <is>
          <t>2025
04/01~04/18</t>
        </is>
      </c>
      <c r="Y3" s="71" t="inlineStr">
        <is>
          <t>2026
04/01~04/18</t>
        </is>
      </c>
      <c r="Z3" s="70" t="inlineStr">
        <is>
          <t>2025
04/01~04/18</t>
        </is>
      </c>
      <c r="AA3" s="71" t="inlineStr">
        <is>
          <t>2026
04/01~04/18</t>
        </is>
      </c>
      <c r="AB3" s="86" t="inlineStr">
        <is>
          <t>較上週比</t>
        </is>
      </c>
      <c r="AC3" s="86" t="n"/>
      <c r="AD3" s="86" t="n"/>
      <c r="AE3" s="86" t="n"/>
      <c r="AF3" s="86" t="n"/>
    </row>
    <row r="4" ht="20" customHeight="1" s="83">
      <c r="A4" s="41" t="inlineStr">
        <is>
          <t>士林門市</t>
        </is>
      </c>
      <c r="B4" s="123" t="n">
        <v>0</v>
      </c>
      <c r="C4" s="123" t="n">
        <v>0</v>
      </c>
      <c r="D4" s="43" t="n">
        <v>0</v>
      </c>
      <c r="E4" s="123" t="n">
        <v>0</v>
      </c>
      <c r="F4" s="123" t="n">
        <v>0</v>
      </c>
      <c r="G4" s="43" t="n">
        <v>0</v>
      </c>
      <c r="H4" s="123" t="n">
        <v>0</v>
      </c>
      <c r="I4" s="123" t="n">
        <v>0</v>
      </c>
      <c r="J4" s="43" t="n">
        <v>0</v>
      </c>
      <c r="K4" s="123" t="n">
        <v>0</v>
      </c>
      <c r="L4" s="123" t="n">
        <v>0</v>
      </c>
      <c r="M4" s="43" t="n">
        <v>0</v>
      </c>
      <c r="N4" s="123" t="n">
        <v>0</v>
      </c>
      <c r="O4" s="123" t="n">
        <v>0</v>
      </c>
      <c r="P4" s="43" t="n">
        <v>0</v>
      </c>
      <c r="Q4" s="123" t="n">
        <v>0</v>
      </c>
      <c r="R4" s="123" t="n">
        <v>0</v>
      </c>
      <c r="S4" s="43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123" t="n">
        <v>0</v>
      </c>
      <c r="AA4" s="123" t="n">
        <v>0</v>
      </c>
      <c r="AB4" s="43" t="n">
        <v>0</v>
      </c>
      <c r="AC4" s="123" t="n">
        <v>0</v>
      </c>
      <c r="AD4" s="123" t="n">
        <v>0</v>
      </c>
      <c r="AE4" s="123" t="n"/>
      <c r="AF4" s="123" t="n"/>
    </row>
    <row r="5" ht="20" customHeight="1" s="83">
      <c r="A5" s="41" t="inlineStr">
        <is>
          <t>微風門市</t>
        </is>
      </c>
      <c r="B5" s="124" t="n">
        <v>0</v>
      </c>
      <c r="C5" s="124" t="n">
        <v>0</v>
      </c>
      <c r="D5" s="43" t="n">
        <v>0</v>
      </c>
      <c r="E5" s="124" t="n">
        <v>0</v>
      </c>
      <c r="F5" s="124" t="n">
        <v>0</v>
      </c>
      <c r="G5" s="43" t="n">
        <v>0</v>
      </c>
      <c r="H5" s="124" t="n">
        <v>0</v>
      </c>
      <c r="I5" s="124" t="n">
        <v>0</v>
      </c>
      <c r="J5" s="43" t="n">
        <v>0</v>
      </c>
      <c r="K5" s="124" t="n">
        <v>0</v>
      </c>
      <c r="L5" s="124" t="n">
        <v>0</v>
      </c>
      <c r="M5" s="43" t="n">
        <v>0</v>
      </c>
      <c r="N5" s="124" t="n">
        <v>0</v>
      </c>
      <c r="O5" s="124" t="n">
        <v>0</v>
      </c>
      <c r="P5" s="43" t="n">
        <v>0</v>
      </c>
      <c r="Q5" s="124" t="n">
        <v>0</v>
      </c>
      <c r="R5" s="124" t="n">
        <v>0</v>
      </c>
      <c r="S5" s="43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124" t="n">
        <v>0</v>
      </c>
      <c r="AA5" s="124" t="n">
        <v>0</v>
      </c>
      <c r="AB5" s="43" t="n">
        <v>0</v>
      </c>
      <c r="AC5" s="124" t="n">
        <v>0</v>
      </c>
      <c r="AD5" s="124" t="n">
        <v>0</v>
      </c>
      <c r="AE5" s="124" t="n"/>
      <c r="AF5" s="124" t="n"/>
    </row>
    <row r="6" ht="20" customHeight="1" s="83">
      <c r="A6" s="41" t="inlineStr">
        <is>
          <t>美麗華門市</t>
        </is>
      </c>
      <c r="B6" s="123" t="n">
        <v>0</v>
      </c>
      <c r="C6" s="123" t="n">
        <v>0</v>
      </c>
      <c r="D6" s="43" t="n">
        <v>0</v>
      </c>
      <c r="E6" s="123" t="n">
        <v>0</v>
      </c>
      <c r="F6" s="123" t="n">
        <v>0</v>
      </c>
      <c r="G6" s="43" t="n">
        <v>0</v>
      </c>
      <c r="H6" s="123" t="n">
        <v>0</v>
      </c>
      <c r="I6" s="123" t="n">
        <v>0</v>
      </c>
      <c r="J6" s="43" t="n">
        <v>0</v>
      </c>
      <c r="K6" s="123" t="n">
        <v>0</v>
      </c>
      <c r="L6" s="123" t="n">
        <v>0</v>
      </c>
      <c r="M6" s="43" t="n">
        <v>0</v>
      </c>
      <c r="N6" s="123" t="n">
        <v>0</v>
      </c>
      <c r="O6" s="123" t="n">
        <v>0</v>
      </c>
      <c r="P6" s="43" t="n">
        <v>0</v>
      </c>
      <c r="Q6" s="123" t="n">
        <v>0</v>
      </c>
      <c r="R6" s="123" t="n">
        <v>0</v>
      </c>
      <c r="S6" s="43" t="n">
        <v>0</v>
      </c>
      <c r="T6" s="44" t="n">
        <v>0</v>
      </c>
      <c r="U6" s="4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123" t="n">
        <v>0</v>
      </c>
      <c r="AA6" s="123" t="n">
        <v>0</v>
      </c>
      <c r="AB6" s="43" t="n">
        <v>0</v>
      </c>
      <c r="AC6" s="123" t="n">
        <v>0</v>
      </c>
      <c r="AD6" s="123" t="n">
        <v>0</v>
      </c>
      <c r="AE6" s="123" t="n"/>
      <c r="AF6" s="123" t="n"/>
    </row>
    <row r="7" ht="20" customHeight="1" s="83">
      <c r="A7" s="41" t="inlineStr">
        <is>
          <t>阿波羅門市</t>
        </is>
      </c>
      <c r="B7" s="124" t="n">
        <v>0</v>
      </c>
      <c r="C7" s="124" t="n">
        <v>0</v>
      </c>
      <c r="D7" s="43" t="n">
        <v>0</v>
      </c>
      <c r="E7" s="124" t="n">
        <v>0</v>
      </c>
      <c r="F7" s="124" t="n">
        <v>0</v>
      </c>
      <c r="G7" s="43" t="n">
        <v>0</v>
      </c>
      <c r="H7" s="124" t="n">
        <v>0</v>
      </c>
      <c r="I7" s="124" t="n">
        <v>0</v>
      </c>
      <c r="J7" s="43" t="n">
        <v>0</v>
      </c>
      <c r="K7" s="124" t="n">
        <v>0</v>
      </c>
      <c r="L7" s="124" t="n">
        <v>0</v>
      </c>
      <c r="M7" s="43" t="n">
        <v>0</v>
      </c>
      <c r="N7" s="124" t="n">
        <v>0</v>
      </c>
      <c r="O7" s="124" t="n">
        <v>0</v>
      </c>
      <c r="P7" s="43" t="n">
        <v>0</v>
      </c>
      <c r="Q7" s="124" t="n">
        <v>0</v>
      </c>
      <c r="R7" s="124" t="n">
        <v>0</v>
      </c>
      <c r="S7" s="43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124" t="n">
        <v>0</v>
      </c>
      <c r="AA7" s="124" t="n">
        <v>0</v>
      </c>
      <c r="AB7" s="43" t="n">
        <v>0</v>
      </c>
      <c r="AC7" s="124" t="n">
        <v>0</v>
      </c>
      <c r="AD7" s="124" t="n">
        <v>0</v>
      </c>
      <c r="AE7" s="124" t="n"/>
      <c r="AF7" s="124" t="n"/>
    </row>
    <row r="8" ht="20" customHeight="1" s="83">
      <c r="A8" s="41" t="inlineStr">
        <is>
          <t>大葉高島屋門市</t>
        </is>
      </c>
      <c r="B8" s="123" t="n">
        <v>0</v>
      </c>
      <c r="C8" s="123" t="n">
        <v>0</v>
      </c>
      <c r="D8" s="43" t="n">
        <v>0</v>
      </c>
      <c r="E8" s="123" t="n">
        <v>0</v>
      </c>
      <c r="F8" s="123" t="n">
        <v>0</v>
      </c>
      <c r="G8" s="43" t="n">
        <v>0</v>
      </c>
      <c r="H8" s="123" t="n">
        <v>0</v>
      </c>
      <c r="I8" s="123" t="n">
        <v>0</v>
      </c>
      <c r="J8" s="43" t="n">
        <v>0</v>
      </c>
      <c r="K8" s="123" t="n">
        <v>0</v>
      </c>
      <c r="L8" s="123" t="n">
        <v>0</v>
      </c>
      <c r="M8" s="43" t="n">
        <v>0</v>
      </c>
      <c r="N8" s="123" t="n">
        <v>0</v>
      </c>
      <c r="O8" s="123" t="n">
        <v>0</v>
      </c>
      <c r="P8" s="43" t="n">
        <v>0</v>
      </c>
      <c r="Q8" s="123" t="n">
        <v>0</v>
      </c>
      <c r="R8" s="123" t="n">
        <v>0</v>
      </c>
      <c r="S8" s="43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123" t="n">
        <v>0</v>
      </c>
      <c r="AA8" s="123" t="n">
        <v>0</v>
      </c>
      <c r="AB8" s="43" t="n">
        <v>0</v>
      </c>
      <c r="AC8" s="123" t="n">
        <v>0</v>
      </c>
      <c r="AD8" s="123" t="n">
        <v>0</v>
      </c>
      <c r="AE8" s="123" t="n"/>
      <c r="AF8" s="123" t="n"/>
    </row>
    <row r="9" ht="20" customHeight="1" s="83">
      <c r="A9" s="41" t="inlineStr">
        <is>
          <t>羅東門市</t>
        </is>
      </c>
      <c r="B9" s="124" t="n">
        <v>0</v>
      </c>
      <c r="C9" s="124" t="n">
        <v>0</v>
      </c>
      <c r="D9" s="43" t="n">
        <v>0</v>
      </c>
      <c r="E9" s="124" t="n">
        <v>0</v>
      </c>
      <c r="F9" s="124" t="n">
        <v>0</v>
      </c>
      <c r="G9" s="43" t="n">
        <v>0</v>
      </c>
      <c r="H9" s="124" t="n">
        <v>0</v>
      </c>
      <c r="I9" s="124" t="n">
        <v>0</v>
      </c>
      <c r="J9" s="43" t="n">
        <v>0</v>
      </c>
      <c r="K9" s="124" t="n">
        <v>0</v>
      </c>
      <c r="L9" s="124" t="n">
        <v>0</v>
      </c>
      <c r="M9" s="43" t="n">
        <v>0</v>
      </c>
      <c r="N9" s="124" t="n">
        <v>0</v>
      </c>
      <c r="O9" s="124" t="n">
        <v>0</v>
      </c>
      <c r="P9" s="43" t="n">
        <v>0</v>
      </c>
      <c r="Q9" s="124" t="n">
        <v>0</v>
      </c>
      <c r="R9" s="124" t="n">
        <v>0</v>
      </c>
      <c r="S9" s="43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124" t="n">
        <v>0</v>
      </c>
      <c r="AA9" s="124" t="n">
        <v>0</v>
      </c>
      <c r="AB9" s="43" t="n">
        <v>0</v>
      </c>
      <c r="AC9" s="124" t="n">
        <v>0</v>
      </c>
      <c r="AD9" s="124" t="n">
        <v>0</v>
      </c>
      <c r="AE9" s="124" t="n"/>
      <c r="AF9" s="124" t="n"/>
    </row>
    <row r="10" ht="20" customHeight="1" s="83">
      <c r="A10" s="47" t="inlineStr">
        <is>
          <t>Total</t>
        </is>
      </c>
      <c r="B10" s="125" t="n">
        <v>0</v>
      </c>
      <c r="C10" s="125" t="n">
        <v>0</v>
      </c>
      <c r="D10" s="49" t="n">
        <v>0</v>
      </c>
      <c r="E10" s="125" t="n">
        <v>0</v>
      </c>
      <c r="F10" s="125" t="n">
        <v>0</v>
      </c>
      <c r="G10" s="49" t="n">
        <v>0</v>
      </c>
      <c r="H10" s="125" t="n">
        <v>0</v>
      </c>
      <c r="I10" s="125" t="n">
        <v>0</v>
      </c>
      <c r="J10" s="49" t="n">
        <v>0</v>
      </c>
      <c r="K10" s="125" t="n">
        <v>0</v>
      </c>
      <c r="L10" s="125" t="n">
        <v>0</v>
      </c>
      <c r="M10" s="49" t="n">
        <v>0</v>
      </c>
      <c r="N10" s="125" t="n">
        <v>0</v>
      </c>
      <c r="O10" s="125" t="n">
        <v>0</v>
      </c>
      <c r="P10" s="49" t="n">
        <v>0</v>
      </c>
      <c r="Q10" s="125" t="n">
        <v>0</v>
      </c>
      <c r="R10" s="125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125" t="n">
        <v>0</v>
      </c>
      <c r="AA10" s="125" t="n">
        <v>0</v>
      </c>
      <c r="AB10" s="49" t="n">
        <v>0</v>
      </c>
      <c r="AC10" s="125" t="n">
        <v>0</v>
      </c>
      <c r="AD10" s="125" t="n">
        <v>0</v>
      </c>
      <c r="AE10" s="125" t="n"/>
      <c r="AF10" s="125" t="n"/>
    </row>
    <row r="12" ht="26" customHeight="1" s="83">
      <c r="A12" s="72" t="n"/>
      <c r="B12" s="72" t="inlineStr">
        <is>
          <t>CPU</t>
        </is>
      </c>
      <c r="C12" s="72" t="n"/>
      <c r="D12" s="72" t="n"/>
      <c r="E12" s="72" t="inlineStr">
        <is>
          <t>iPad</t>
        </is>
      </c>
      <c r="F12" s="72" t="n"/>
      <c r="G12" s="72" t="n"/>
      <c r="H12" s="72" t="inlineStr">
        <is>
          <t>iPhone</t>
        </is>
      </c>
      <c r="I12" s="72" t="n"/>
      <c r="J12" s="72" t="n"/>
      <c r="K12" s="72" t="inlineStr">
        <is>
          <t>Watch</t>
        </is>
      </c>
      <c r="L12" s="72" t="n"/>
      <c r="M12" s="72" t="n"/>
      <c r="N12" s="72" t="inlineStr">
        <is>
          <t>AirPods</t>
        </is>
      </c>
      <c r="O12" s="72" t="n"/>
      <c r="P12" s="72" t="n"/>
      <c r="Q12" s="72" t="n"/>
      <c r="R12" s="72" t="inlineStr">
        <is>
          <t>上月</t>
        </is>
      </c>
      <c r="S12" s="72" t="n"/>
      <c r="T12" s="72" t="n"/>
      <c r="U12" s="72" t="inlineStr">
        <is>
          <t>本月</t>
        </is>
      </c>
      <c r="V12" s="72" t="n"/>
      <c r="W12" s="72" t="n"/>
      <c r="X12" s="72" t="n"/>
      <c r="Y12" s="72" t="n"/>
      <c r="Z12" s="72" t="inlineStr">
        <is>
          <t>平均單價</t>
        </is>
      </c>
      <c r="AA12" s="72" t="n"/>
      <c r="AB12" s="72" t="n"/>
      <c r="AC12" s="72" t="n"/>
    </row>
    <row r="13" ht="42" customHeight="1" s="83">
      <c r="A13" s="86" t="n"/>
      <c r="B13" s="70" t="inlineStr">
        <is>
          <t>2025
03/01~03/18</t>
        </is>
      </c>
      <c r="C13" s="71" t="inlineStr">
        <is>
          <t>2026
04/01~04/18</t>
        </is>
      </c>
      <c r="D13" s="86" t="inlineStr">
        <is>
          <t>較上月比</t>
        </is>
      </c>
      <c r="E13" s="70" t="inlineStr">
        <is>
          <t>2025
03/01~03/18</t>
        </is>
      </c>
      <c r="F13" s="71" t="inlineStr">
        <is>
          <t>2026
04/01~04/18</t>
        </is>
      </c>
      <c r="G13" s="86" t="inlineStr">
        <is>
          <t>較上月比</t>
        </is>
      </c>
      <c r="H13" s="70" t="inlineStr">
        <is>
          <t>2025
03/01~03/18</t>
        </is>
      </c>
      <c r="I13" s="71" t="inlineStr">
        <is>
          <t>2026
04/01~04/18</t>
        </is>
      </c>
      <c r="J13" s="86" t="inlineStr">
        <is>
          <t>較上月比</t>
        </is>
      </c>
      <c r="K13" s="70" t="inlineStr">
        <is>
          <t>2025
03/01~03/18</t>
        </is>
      </c>
      <c r="L13" s="71" t="inlineStr">
        <is>
          <t>2026
04/01~04/18</t>
        </is>
      </c>
      <c r="M13" s="86" t="inlineStr">
        <is>
          <t>較上月比</t>
        </is>
      </c>
      <c r="N13" s="70" t="inlineStr">
        <is>
          <t>2025
03/01~03/18</t>
        </is>
      </c>
      <c r="O13" s="71" t="inlineStr">
        <is>
          <t>2026
04/01~04/18</t>
        </is>
      </c>
      <c r="P13" s="86" t="inlineStr">
        <is>
          <t>較上月比</t>
        </is>
      </c>
      <c r="Q13" s="86" t="n"/>
      <c r="R13" s="86" t="inlineStr">
        <is>
          <t>成交筆數</t>
        </is>
      </c>
      <c r="S13" s="86" t="inlineStr">
        <is>
          <t>人流</t>
        </is>
      </c>
      <c r="T13" s="86" t="inlineStr">
        <is>
          <t>提袋率</t>
        </is>
      </c>
      <c r="U13" s="86" t="inlineStr">
        <is>
          <t>成交筆數</t>
        </is>
      </c>
      <c r="V13" s="86" t="inlineStr">
        <is>
          <t>人流</t>
        </is>
      </c>
      <c r="W13" s="86" t="inlineStr">
        <is>
          <t>提袋率</t>
        </is>
      </c>
      <c r="X13" s="86" t="inlineStr">
        <is>
          <t>差異人流</t>
        </is>
      </c>
      <c r="Y13" s="86" t="inlineStr">
        <is>
          <t>較上月比</t>
        </is>
      </c>
      <c r="Z13" s="70" t="inlineStr">
        <is>
          <t>2025
03/01~03/18</t>
        </is>
      </c>
      <c r="AA13" s="71" t="inlineStr">
        <is>
          <t>2026
04/01~04/18</t>
        </is>
      </c>
      <c r="AB13" s="86" t="inlineStr">
        <is>
          <t>差異金額</t>
        </is>
      </c>
      <c r="AC13" s="86" t="inlineStr">
        <is>
          <t>較上月比</t>
        </is>
      </c>
    </row>
    <row r="14" ht="20" customHeight="1" s="83">
      <c r="A14" s="73" t="inlineStr">
        <is>
          <t>士林門市</t>
        </is>
      </c>
      <c r="B14" s="123" t="n">
        <v>0</v>
      </c>
      <c r="C14" s="123" t="n">
        <v>0</v>
      </c>
      <c r="D14" s="74" t="n">
        <v>0</v>
      </c>
      <c r="E14" s="123" t="n">
        <v>0</v>
      </c>
      <c r="F14" s="123" t="n">
        <v>0</v>
      </c>
      <c r="G14" s="74" t="n">
        <v>0</v>
      </c>
      <c r="H14" s="123" t="n">
        <v>0</v>
      </c>
      <c r="I14" s="123" t="n">
        <v>0</v>
      </c>
      <c r="J14" s="74" t="n">
        <v>0</v>
      </c>
      <c r="K14" s="123" t="n">
        <v>0</v>
      </c>
      <c r="L14" s="123" t="n">
        <v>0</v>
      </c>
      <c r="M14" s="74" t="n">
        <v>0</v>
      </c>
      <c r="N14" s="123" t="n">
        <v>0</v>
      </c>
      <c r="O14" s="123" t="n">
        <v>0</v>
      </c>
      <c r="P14" s="74" t="n">
        <v>0</v>
      </c>
      <c r="Q14" s="126" t="n"/>
      <c r="R14" s="123" t="n">
        <v>0</v>
      </c>
      <c r="S14" s="87" t="n"/>
      <c r="T14" s="87" t="n"/>
      <c r="U14" s="123" t="n">
        <v>0</v>
      </c>
      <c r="V14" s="87" t="n"/>
      <c r="W14" s="87" t="n"/>
      <c r="X14" s="87" t="n"/>
      <c r="Y14" s="74" t="n">
        <v>0</v>
      </c>
      <c r="Z14" s="87" t="n"/>
      <c r="AA14" s="87" t="n"/>
      <c r="AB14" s="87" t="n"/>
      <c r="AC14" s="74" t="n">
        <v>0</v>
      </c>
    </row>
    <row r="15" ht="20" customHeight="1" s="83">
      <c r="A15" s="73" t="inlineStr">
        <is>
          <t>微風門市</t>
        </is>
      </c>
      <c r="B15" s="124" t="n">
        <v>0</v>
      </c>
      <c r="C15" s="124" t="n">
        <v>0</v>
      </c>
      <c r="D15" s="74" t="n">
        <v>0</v>
      </c>
      <c r="E15" s="124" t="n">
        <v>0</v>
      </c>
      <c r="F15" s="124" t="n">
        <v>0</v>
      </c>
      <c r="G15" s="74" t="n">
        <v>0</v>
      </c>
      <c r="H15" s="124" t="n">
        <v>0</v>
      </c>
      <c r="I15" s="124" t="n">
        <v>0</v>
      </c>
      <c r="J15" s="74" t="n">
        <v>0</v>
      </c>
      <c r="K15" s="124" t="n">
        <v>0</v>
      </c>
      <c r="L15" s="124" t="n">
        <v>0</v>
      </c>
      <c r="M15" s="74" t="n">
        <v>0</v>
      </c>
      <c r="N15" s="124" t="n">
        <v>0</v>
      </c>
      <c r="O15" s="124" t="n">
        <v>0</v>
      </c>
      <c r="P15" s="74" t="n">
        <v>0</v>
      </c>
      <c r="Q15" s="126" t="n"/>
      <c r="R15" s="124" t="n">
        <v>0</v>
      </c>
      <c r="S15" s="50" t="n"/>
      <c r="T15" s="50" t="n"/>
      <c r="U15" s="124" t="n">
        <v>0</v>
      </c>
      <c r="V15" s="50" t="n"/>
      <c r="W15" s="50" t="n"/>
      <c r="X15" s="50" t="n"/>
      <c r="Y15" s="74" t="n">
        <v>0</v>
      </c>
      <c r="Z15" s="50" t="n"/>
      <c r="AA15" s="50" t="n"/>
      <c r="AB15" s="50" t="n"/>
      <c r="AC15" s="74" t="n">
        <v>0</v>
      </c>
    </row>
    <row r="16" ht="20" customHeight="1" s="83">
      <c r="A16" s="73" t="inlineStr">
        <is>
          <t>美麗華門市</t>
        </is>
      </c>
      <c r="B16" s="123" t="n">
        <v>0</v>
      </c>
      <c r="C16" s="123" t="n">
        <v>0</v>
      </c>
      <c r="D16" s="74" t="n">
        <v>0</v>
      </c>
      <c r="E16" s="123" t="n">
        <v>0</v>
      </c>
      <c r="F16" s="123" t="n">
        <v>0</v>
      </c>
      <c r="G16" s="74" t="n">
        <v>0</v>
      </c>
      <c r="H16" s="123" t="n">
        <v>0</v>
      </c>
      <c r="I16" s="123" t="n">
        <v>0</v>
      </c>
      <c r="J16" s="74" t="n">
        <v>0</v>
      </c>
      <c r="K16" s="123" t="n">
        <v>0</v>
      </c>
      <c r="L16" s="123" t="n">
        <v>0</v>
      </c>
      <c r="M16" s="74" t="n">
        <v>0</v>
      </c>
      <c r="N16" s="123" t="n">
        <v>0</v>
      </c>
      <c r="O16" s="123" t="n">
        <v>0</v>
      </c>
      <c r="P16" s="74" t="n">
        <v>0</v>
      </c>
      <c r="Q16" s="126" t="n"/>
      <c r="R16" s="123" t="n">
        <v>0</v>
      </c>
      <c r="S16" s="87" t="n"/>
      <c r="T16" s="87" t="n"/>
      <c r="U16" s="123" t="n">
        <v>0</v>
      </c>
      <c r="V16" s="87" t="n"/>
      <c r="W16" s="87" t="n"/>
      <c r="X16" s="87" t="n"/>
      <c r="Y16" s="74" t="n">
        <v>0</v>
      </c>
      <c r="Z16" s="87" t="n"/>
      <c r="AA16" s="87" t="n"/>
      <c r="AB16" s="87" t="n"/>
      <c r="AC16" s="74" t="n">
        <v>0</v>
      </c>
    </row>
    <row r="17" ht="20" customHeight="1" s="83">
      <c r="A17" s="73" t="inlineStr">
        <is>
          <t>阿波羅門市</t>
        </is>
      </c>
      <c r="B17" s="124" t="n">
        <v>0</v>
      </c>
      <c r="C17" s="124" t="n">
        <v>0</v>
      </c>
      <c r="D17" s="74" t="n">
        <v>0</v>
      </c>
      <c r="E17" s="124" t="n">
        <v>0</v>
      </c>
      <c r="F17" s="124" t="n">
        <v>0</v>
      </c>
      <c r="G17" s="74" t="n">
        <v>0</v>
      </c>
      <c r="H17" s="124" t="n">
        <v>0</v>
      </c>
      <c r="I17" s="124" t="n">
        <v>0</v>
      </c>
      <c r="J17" s="74" t="n">
        <v>0</v>
      </c>
      <c r="K17" s="124" t="n">
        <v>0</v>
      </c>
      <c r="L17" s="124" t="n">
        <v>0</v>
      </c>
      <c r="M17" s="74" t="n">
        <v>0</v>
      </c>
      <c r="N17" s="124" t="n">
        <v>0</v>
      </c>
      <c r="O17" s="124" t="n">
        <v>0</v>
      </c>
      <c r="P17" s="74" t="n">
        <v>0</v>
      </c>
      <c r="Q17" s="126" t="n"/>
      <c r="R17" s="124" t="n">
        <v>0</v>
      </c>
      <c r="S17" s="50" t="n"/>
      <c r="T17" s="50" t="n"/>
      <c r="U17" s="124" t="n">
        <v>0</v>
      </c>
      <c r="V17" s="50" t="n"/>
      <c r="W17" s="50" t="n"/>
      <c r="X17" s="50" t="n"/>
      <c r="Y17" s="74" t="n">
        <v>0</v>
      </c>
      <c r="Z17" s="50" t="n"/>
      <c r="AA17" s="50" t="n"/>
      <c r="AB17" s="50" t="n"/>
      <c r="AC17" s="74" t="n">
        <v>0</v>
      </c>
    </row>
    <row r="18" ht="20" customHeight="1" s="83">
      <c r="A18" s="73" t="inlineStr">
        <is>
          <t>大葉高島屋門市</t>
        </is>
      </c>
      <c r="B18" s="123" t="n">
        <v>0</v>
      </c>
      <c r="C18" s="123" t="n">
        <v>0</v>
      </c>
      <c r="D18" s="74" t="n">
        <v>0</v>
      </c>
      <c r="E18" s="123" t="n">
        <v>0</v>
      </c>
      <c r="F18" s="123" t="n">
        <v>0</v>
      </c>
      <c r="G18" s="74" t="n">
        <v>0</v>
      </c>
      <c r="H18" s="123" t="n">
        <v>0</v>
      </c>
      <c r="I18" s="123" t="n">
        <v>0</v>
      </c>
      <c r="J18" s="74" t="n">
        <v>0</v>
      </c>
      <c r="K18" s="123" t="n">
        <v>0</v>
      </c>
      <c r="L18" s="123" t="n">
        <v>0</v>
      </c>
      <c r="M18" s="74" t="n">
        <v>0</v>
      </c>
      <c r="N18" s="123" t="n">
        <v>0</v>
      </c>
      <c r="O18" s="123" t="n">
        <v>0</v>
      </c>
      <c r="P18" s="74" t="n">
        <v>0</v>
      </c>
      <c r="Q18" s="126" t="n"/>
      <c r="R18" s="123" t="n">
        <v>0</v>
      </c>
      <c r="S18" s="87" t="n"/>
      <c r="T18" s="87" t="n"/>
      <c r="U18" s="123" t="n">
        <v>0</v>
      </c>
      <c r="V18" s="87" t="n"/>
      <c r="W18" s="87" t="n"/>
      <c r="X18" s="87" t="n"/>
      <c r="Y18" s="74" t="n">
        <v>0</v>
      </c>
      <c r="Z18" s="87" t="n"/>
      <c r="AA18" s="87" t="n"/>
      <c r="AB18" s="87" t="n"/>
      <c r="AC18" s="74" t="n">
        <v>0</v>
      </c>
    </row>
    <row r="19" ht="20" customHeight="1" s="83">
      <c r="A19" s="73" t="inlineStr">
        <is>
          <t>羅東門市</t>
        </is>
      </c>
      <c r="B19" s="124" t="n">
        <v>0</v>
      </c>
      <c r="C19" s="124" t="n">
        <v>0</v>
      </c>
      <c r="D19" s="74" t="n">
        <v>0</v>
      </c>
      <c r="E19" s="124" t="n">
        <v>0</v>
      </c>
      <c r="F19" s="124" t="n">
        <v>0</v>
      </c>
      <c r="G19" s="74" t="n">
        <v>0</v>
      </c>
      <c r="H19" s="124" t="n">
        <v>0</v>
      </c>
      <c r="I19" s="124" t="n">
        <v>0</v>
      </c>
      <c r="J19" s="74" t="n">
        <v>0</v>
      </c>
      <c r="K19" s="124" t="n">
        <v>0</v>
      </c>
      <c r="L19" s="124" t="n">
        <v>0</v>
      </c>
      <c r="M19" s="74" t="n">
        <v>0</v>
      </c>
      <c r="N19" s="124" t="n">
        <v>0</v>
      </c>
      <c r="O19" s="124" t="n">
        <v>0</v>
      </c>
      <c r="P19" s="74" t="n">
        <v>0</v>
      </c>
      <c r="Q19" s="126" t="n"/>
      <c r="R19" s="124" t="n">
        <v>0</v>
      </c>
      <c r="S19" s="50">
        <f>R19*0.85/0.3</f>
        <v/>
      </c>
      <c r="T19" s="50" t="n"/>
      <c r="U19" s="124" t="n">
        <v>0</v>
      </c>
      <c r="V19" s="50">
        <f>U19*0.85/0.3</f>
        <v/>
      </c>
      <c r="W19" s="50" t="n"/>
      <c r="X19" s="50" t="n"/>
      <c r="Y19" s="74" t="n">
        <v>0</v>
      </c>
      <c r="Z19" s="50" t="n"/>
      <c r="AA19" s="50" t="n"/>
      <c r="AB19" s="50" t="n"/>
      <c r="AC19" s="74" t="n">
        <v>0</v>
      </c>
    </row>
    <row r="20" ht="20" customHeight="1" s="83">
      <c r="A20" s="47" t="inlineStr">
        <is>
          <t>Total</t>
        </is>
      </c>
      <c r="B20" s="125" t="n">
        <v>0</v>
      </c>
      <c r="C20" s="125" t="n">
        <v>0</v>
      </c>
      <c r="D20" s="49" t="n">
        <v>0</v>
      </c>
      <c r="E20" s="125" t="n">
        <v>0</v>
      </c>
      <c r="F20" s="125" t="n">
        <v>0</v>
      </c>
      <c r="G20" s="49" t="n">
        <v>0</v>
      </c>
      <c r="H20" s="125" t="n">
        <v>0</v>
      </c>
      <c r="I20" s="125" t="n">
        <v>0</v>
      </c>
      <c r="J20" s="49" t="n">
        <v>0</v>
      </c>
      <c r="K20" s="125" t="n">
        <v>0</v>
      </c>
      <c r="L20" s="125" t="n">
        <v>0</v>
      </c>
      <c r="M20" s="49" t="n">
        <v>0</v>
      </c>
      <c r="N20" s="125" t="n">
        <v>0</v>
      </c>
      <c r="O20" s="125" t="n">
        <v>0</v>
      </c>
      <c r="P20" s="49" t="n">
        <v>0</v>
      </c>
      <c r="Q20" s="127" t="n"/>
      <c r="R20" s="125" t="n">
        <v>0</v>
      </c>
      <c r="S20" s="88" t="n"/>
      <c r="T20" s="88" t="n"/>
      <c r="U20" s="125" t="n">
        <v>0</v>
      </c>
      <c r="V20" s="88" t="n"/>
      <c r="W20" s="88" t="n"/>
      <c r="X20" s="88" t="n"/>
      <c r="Y20" s="49" t="n">
        <v>0</v>
      </c>
      <c r="Z20" s="88" t="n"/>
      <c r="AA20" s="88" t="n"/>
      <c r="AB20" s="88" t="n"/>
      <c r="AC20" s="49" t="n">
        <v>0</v>
      </c>
    </row>
    <row r="22" ht="42" customHeight="1" s="83">
      <c r="A22" s="40" t="inlineStr">
        <is>
          <t>2026
04/01~04/18</t>
        </is>
      </c>
      <c r="B22" s="86" t="inlineStr">
        <is>
          <t>CPU</t>
        </is>
      </c>
      <c r="C22" s="86" t="inlineStr">
        <is>
          <t>Mac ACPP+</t>
        </is>
      </c>
      <c r="D22" s="86" t="inlineStr">
        <is>
          <t>ACPP+搭售率</t>
        </is>
      </c>
      <c r="E22" s="86" t="inlineStr">
        <is>
          <t>Mac SACare</t>
        </is>
      </c>
      <c r="F22" s="86" t="inlineStr">
        <is>
          <t>SACare搭售率</t>
        </is>
      </c>
      <c r="G22" s="86" t="inlineStr">
        <is>
          <t>合計搭售率</t>
        </is>
      </c>
      <c r="H22" s="86" t="inlineStr">
        <is>
          <t>Watch</t>
        </is>
      </c>
      <c r="I22" s="86" t="inlineStr">
        <is>
          <t>Watch ACPP+</t>
        </is>
      </c>
      <c r="J22" s="86" t="inlineStr">
        <is>
          <t>ACPP+搭售率</t>
        </is>
      </c>
      <c r="K22" s="86" t="inlineStr">
        <is>
          <t>Watch SACare</t>
        </is>
      </c>
      <c r="L22" s="86" t="inlineStr">
        <is>
          <t>SACare搭售率</t>
        </is>
      </c>
      <c r="M22" s="86" t="inlineStr">
        <is>
          <t>合計搭售率</t>
        </is>
      </c>
      <c r="N22" s="86" t="inlineStr">
        <is>
          <t>iPad</t>
        </is>
      </c>
      <c r="O22" s="86" t="inlineStr">
        <is>
          <t>iPad ACPP+</t>
        </is>
      </c>
      <c r="P22" s="86" t="inlineStr">
        <is>
          <t>ACPP+搭售率</t>
        </is>
      </c>
      <c r="Q22" s="86" t="inlineStr">
        <is>
          <t>iPad SACare</t>
        </is>
      </c>
      <c r="R22" s="86" t="inlineStr">
        <is>
          <t>SACare搭售率</t>
        </is>
      </c>
      <c r="S22" s="86" t="inlineStr">
        <is>
          <t>合計搭售率</t>
        </is>
      </c>
      <c r="T22" s="86" t="inlineStr">
        <is>
          <t>iPhone</t>
        </is>
      </c>
      <c r="U22" s="86" t="inlineStr">
        <is>
          <t>iPhone ACPP+</t>
        </is>
      </c>
      <c r="V22" s="86" t="inlineStr">
        <is>
          <t>ACPP+搭售率</t>
        </is>
      </c>
      <c r="W22" s="86" t="inlineStr">
        <is>
          <t>iPhone SACare</t>
        </is>
      </c>
      <c r="X22" s="86" t="inlineStr">
        <is>
          <t>SACare搭售率</t>
        </is>
      </c>
      <c r="Y22" s="86" t="inlineStr">
        <is>
          <t>合計搭售率</t>
        </is>
      </c>
      <c r="Z22" s="86" t="inlineStr">
        <is>
          <t>iOS搭售率</t>
        </is>
      </c>
      <c r="AA22" s="86" t="inlineStr">
        <is>
          <t>Airpods</t>
        </is>
      </c>
      <c r="AB22" s="86" t="inlineStr">
        <is>
          <t>ACPP+</t>
        </is>
      </c>
      <c r="AC22" s="86" t="inlineStr">
        <is>
          <t>ACPP+搭售率</t>
        </is>
      </c>
      <c r="AD22" s="86" t="inlineStr">
        <is>
          <t>SACare</t>
        </is>
      </c>
      <c r="AE22" s="86" t="inlineStr">
        <is>
          <t>SACare搭售率</t>
        </is>
      </c>
      <c r="AF22" s="86" t="inlineStr">
        <is>
          <t>合計搭售率</t>
        </is>
      </c>
    </row>
    <row r="23" ht="20" customHeight="1" s="83">
      <c r="A23" s="41" t="inlineStr">
        <is>
          <t>士林門市</t>
        </is>
      </c>
      <c r="B23" s="123" t="n">
        <v>0</v>
      </c>
      <c r="C23" s="123" t="n">
        <v>0</v>
      </c>
      <c r="D23" s="44" t="n">
        <v>0</v>
      </c>
      <c r="E23" s="123" t="n">
        <v>0</v>
      </c>
      <c r="F23" s="44" t="n">
        <v>0</v>
      </c>
      <c r="G23" s="44" t="n">
        <v>0</v>
      </c>
      <c r="H23" s="123" t="n">
        <v>0</v>
      </c>
      <c r="I23" s="123" t="n">
        <v>0</v>
      </c>
      <c r="J23" s="44" t="n">
        <v>0</v>
      </c>
      <c r="K23" s="123" t="n">
        <v>0</v>
      </c>
      <c r="L23" s="44" t="n">
        <v>0</v>
      </c>
      <c r="M23" s="44" t="n">
        <v>0</v>
      </c>
      <c r="N23" s="123" t="n">
        <v>0</v>
      </c>
      <c r="O23" s="123" t="n">
        <v>0</v>
      </c>
      <c r="P23" s="44" t="n">
        <v>0</v>
      </c>
      <c r="Q23" s="123" t="n">
        <v>0</v>
      </c>
      <c r="R23" s="44" t="n">
        <v>0</v>
      </c>
      <c r="S23" s="44" t="n">
        <v>0</v>
      </c>
      <c r="T23" s="123" t="n">
        <v>0</v>
      </c>
      <c r="U23" s="123" t="n">
        <v>0</v>
      </c>
      <c r="V23" s="44" t="n">
        <v>0</v>
      </c>
      <c r="W23" s="123" t="n">
        <v>0</v>
      </c>
      <c r="X23" s="44" t="n">
        <v>0</v>
      </c>
      <c r="Y23" s="44" t="n">
        <v>0</v>
      </c>
      <c r="Z23" s="44" t="n">
        <v>0</v>
      </c>
      <c r="AA23" s="123" t="n">
        <v>0</v>
      </c>
      <c r="AB23" s="123" t="n">
        <v>0</v>
      </c>
      <c r="AC23" s="44" t="n">
        <v>0</v>
      </c>
      <c r="AD23" s="123" t="n">
        <v>0</v>
      </c>
      <c r="AE23" s="44" t="n">
        <v>0</v>
      </c>
      <c r="AF23" s="44" t="n">
        <v>0</v>
      </c>
    </row>
    <row r="24" ht="20" customHeight="1" s="83">
      <c r="A24" s="41" t="inlineStr">
        <is>
          <t>微風門市</t>
        </is>
      </c>
      <c r="B24" s="124" t="n">
        <v>0</v>
      </c>
      <c r="C24" s="124" t="n">
        <v>0</v>
      </c>
      <c r="D24" s="46" t="n">
        <v>0</v>
      </c>
      <c r="E24" s="124" t="n">
        <v>0</v>
      </c>
      <c r="F24" s="46" t="n">
        <v>0</v>
      </c>
      <c r="G24" s="46" t="n">
        <v>0</v>
      </c>
      <c r="H24" s="124" t="n">
        <v>0</v>
      </c>
      <c r="I24" s="124" t="n">
        <v>0</v>
      </c>
      <c r="J24" s="46" t="n">
        <v>0</v>
      </c>
      <c r="K24" s="124" t="n">
        <v>0</v>
      </c>
      <c r="L24" s="46" t="n">
        <v>0</v>
      </c>
      <c r="M24" s="46" t="n">
        <v>0</v>
      </c>
      <c r="N24" s="124" t="n">
        <v>0</v>
      </c>
      <c r="O24" s="124" t="n">
        <v>0</v>
      </c>
      <c r="P24" s="46" t="n">
        <v>0</v>
      </c>
      <c r="Q24" s="124" t="n">
        <v>0</v>
      </c>
      <c r="R24" s="46" t="n">
        <v>0</v>
      </c>
      <c r="S24" s="46" t="n">
        <v>0</v>
      </c>
      <c r="T24" s="124" t="n">
        <v>0</v>
      </c>
      <c r="U24" s="124" t="n">
        <v>0</v>
      </c>
      <c r="V24" s="46" t="n">
        <v>0</v>
      </c>
      <c r="W24" s="124" t="n">
        <v>0</v>
      </c>
      <c r="X24" s="46" t="n">
        <v>0</v>
      </c>
      <c r="Y24" s="46" t="n">
        <v>0</v>
      </c>
      <c r="Z24" s="46" t="n">
        <v>0</v>
      </c>
      <c r="AA24" s="124" t="n">
        <v>0</v>
      </c>
      <c r="AB24" s="124" t="n">
        <v>0</v>
      </c>
      <c r="AC24" s="46" t="n">
        <v>0</v>
      </c>
      <c r="AD24" s="124" t="n">
        <v>0</v>
      </c>
      <c r="AE24" s="46" t="n">
        <v>0</v>
      </c>
      <c r="AF24" s="46" t="n">
        <v>0</v>
      </c>
    </row>
    <row r="25" ht="20" customHeight="1" s="83">
      <c r="A25" s="41" t="inlineStr">
        <is>
          <t>美麗華門市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阿波羅門市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大葉高島屋門市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羅東門市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7" t="inlineStr">
        <is>
          <t>Total</t>
        </is>
      </c>
      <c r="B29" s="125" t="n">
        <v>0</v>
      </c>
      <c r="C29" s="125" t="n">
        <v>0</v>
      </c>
      <c r="D29" s="49" t="n">
        <v>0</v>
      </c>
      <c r="E29" s="125" t="n">
        <v>0</v>
      </c>
      <c r="F29" s="49" t="n">
        <v>0</v>
      </c>
      <c r="G29" s="49" t="n">
        <v>0</v>
      </c>
      <c r="H29" s="125" t="n">
        <v>0</v>
      </c>
      <c r="I29" s="125" t="n">
        <v>0</v>
      </c>
      <c r="J29" s="49" t="n">
        <v>0</v>
      </c>
      <c r="K29" s="125" t="n">
        <v>0</v>
      </c>
      <c r="L29" s="49" t="n">
        <v>0</v>
      </c>
      <c r="M29" s="49" t="n">
        <v>0</v>
      </c>
      <c r="N29" s="125" t="n">
        <v>0</v>
      </c>
      <c r="O29" s="125" t="n">
        <v>0</v>
      </c>
      <c r="P29" s="49" t="n">
        <v>0</v>
      </c>
      <c r="Q29" s="125" t="n">
        <v>0</v>
      </c>
      <c r="R29" s="49" t="n">
        <v>0</v>
      </c>
      <c r="S29" s="49" t="n">
        <v>0</v>
      </c>
      <c r="T29" s="125" t="n">
        <v>0</v>
      </c>
      <c r="U29" s="125" t="n">
        <v>0</v>
      </c>
      <c r="V29" s="49" t="n">
        <v>0</v>
      </c>
      <c r="W29" s="125" t="n">
        <v>0</v>
      </c>
      <c r="X29" s="49" t="n">
        <v>0</v>
      </c>
      <c r="Y29" s="49" t="n">
        <v>0</v>
      </c>
      <c r="Z29" s="49" t="n">
        <v>0</v>
      </c>
      <c r="AA29" s="125" t="n">
        <v>0</v>
      </c>
      <c r="AB29" s="125" t="n">
        <v>0</v>
      </c>
      <c r="AC29" s="49" t="n">
        <v>0</v>
      </c>
      <c r="AD29" s="125" t="n">
        <v>0</v>
      </c>
      <c r="AE29" s="49" t="n">
        <v>0</v>
      </c>
      <c r="AF29" s="49" t="n">
        <v>0</v>
      </c>
    </row>
    <row r="31" ht="42" customHeight="1" s="83">
      <c r="A31" s="39" t="inlineStr">
        <is>
          <t>2025
04/01~04/18</t>
        </is>
      </c>
      <c r="B31" s="86" t="inlineStr">
        <is>
          <t>CPU</t>
        </is>
      </c>
      <c r="C31" s="86" t="inlineStr">
        <is>
          <t>Mac ACPP+</t>
        </is>
      </c>
      <c r="D31" s="86" t="inlineStr">
        <is>
          <t>ACPP+搭售率</t>
        </is>
      </c>
      <c r="E31" s="86" t="inlineStr">
        <is>
          <t>Mac SACare</t>
        </is>
      </c>
      <c r="F31" s="86" t="inlineStr">
        <is>
          <t>SACare搭售率</t>
        </is>
      </c>
      <c r="G31" s="86" t="inlineStr">
        <is>
          <t>合計搭售率</t>
        </is>
      </c>
      <c r="H31" s="86" t="inlineStr">
        <is>
          <t>Watch</t>
        </is>
      </c>
      <c r="I31" s="86" t="inlineStr">
        <is>
          <t>Watch ACPP+</t>
        </is>
      </c>
      <c r="J31" s="86" t="inlineStr">
        <is>
          <t>ACPP+搭售率</t>
        </is>
      </c>
      <c r="K31" s="86" t="inlineStr">
        <is>
          <t>Watch SACare</t>
        </is>
      </c>
      <c r="L31" s="86" t="inlineStr">
        <is>
          <t>SACare搭售率</t>
        </is>
      </c>
      <c r="M31" s="86" t="inlineStr">
        <is>
          <t>合計搭售率</t>
        </is>
      </c>
      <c r="N31" s="86" t="inlineStr">
        <is>
          <t>iPad</t>
        </is>
      </c>
      <c r="O31" s="86" t="inlineStr">
        <is>
          <t>iPad ACPP+</t>
        </is>
      </c>
      <c r="P31" s="86" t="inlineStr">
        <is>
          <t>ACPP+搭售率</t>
        </is>
      </c>
      <c r="Q31" s="86" t="inlineStr">
        <is>
          <t>iPad SACare</t>
        </is>
      </c>
      <c r="R31" s="86" t="inlineStr">
        <is>
          <t>SACare搭售率</t>
        </is>
      </c>
      <c r="S31" s="86" t="inlineStr">
        <is>
          <t>合計搭售率</t>
        </is>
      </c>
      <c r="T31" s="86" t="inlineStr">
        <is>
          <t>iPhone</t>
        </is>
      </c>
      <c r="U31" s="86" t="inlineStr">
        <is>
          <t>iPhone ACPP+</t>
        </is>
      </c>
      <c r="V31" s="86" t="inlineStr">
        <is>
          <t>ACPP+搭售率</t>
        </is>
      </c>
      <c r="W31" s="86" t="inlineStr">
        <is>
          <t>iPhone SACare</t>
        </is>
      </c>
      <c r="X31" s="86" t="inlineStr">
        <is>
          <t>SACare搭售率</t>
        </is>
      </c>
      <c r="Y31" s="86" t="inlineStr">
        <is>
          <t>合計搭售率</t>
        </is>
      </c>
      <c r="Z31" s="86" t="inlineStr">
        <is>
          <t>iOS搭售率</t>
        </is>
      </c>
      <c r="AA31" s="86" t="inlineStr">
        <is>
          <t>Airpods</t>
        </is>
      </c>
      <c r="AB31" s="86" t="inlineStr">
        <is>
          <t>ACPP+</t>
        </is>
      </c>
      <c r="AC31" s="86" t="inlineStr">
        <is>
          <t>ACPP+搭售率</t>
        </is>
      </c>
      <c r="AD31" s="86" t="inlineStr">
        <is>
          <t>SACare</t>
        </is>
      </c>
      <c r="AE31" s="86" t="inlineStr">
        <is>
          <t>SACare搭售率</t>
        </is>
      </c>
      <c r="AF31" s="86" t="inlineStr">
        <is>
          <t>合計搭售率</t>
        </is>
      </c>
    </row>
    <row r="32" ht="20" customHeight="1" s="83">
      <c r="A32" s="41" t="inlineStr">
        <is>
          <t>士林門市</t>
        </is>
      </c>
      <c r="B32" s="123" t="n">
        <v>0</v>
      </c>
      <c r="C32" s="123" t="n">
        <v>0</v>
      </c>
      <c r="D32" s="44" t="n">
        <v>0</v>
      </c>
      <c r="E32" s="123" t="n">
        <v>0</v>
      </c>
      <c r="F32" s="44" t="n">
        <v>0</v>
      </c>
      <c r="G32" s="44" t="n">
        <v>0</v>
      </c>
      <c r="H32" s="123" t="n">
        <v>0</v>
      </c>
      <c r="I32" s="123" t="n">
        <v>0</v>
      </c>
      <c r="J32" s="44" t="n">
        <v>0</v>
      </c>
      <c r="K32" s="123" t="n">
        <v>0</v>
      </c>
      <c r="L32" s="44" t="n">
        <v>0</v>
      </c>
      <c r="M32" s="44" t="n">
        <v>0</v>
      </c>
      <c r="N32" s="123" t="n">
        <v>0</v>
      </c>
      <c r="O32" s="123" t="n">
        <v>0</v>
      </c>
      <c r="P32" s="44" t="n">
        <v>0</v>
      </c>
      <c r="Q32" s="123" t="n">
        <v>0</v>
      </c>
      <c r="R32" s="44" t="n">
        <v>0</v>
      </c>
      <c r="S32" s="44" t="n">
        <v>0</v>
      </c>
      <c r="T32" s="123" t="n">
        <v>0</v>
      </c>
      <c r="U32" s="123" t="n">
        <v>0</v>
      </c>
      <c r="V32" s="44" t="n">
        <v>0</v>
      </c>
      <c r="W32" s="123" t="n">
        <v>0</v>
      </c>
      <c r="X32" s="44" t="n">
        <v>0</v>
      </c>
      <c r="Y32" s="44" t="n">
        <v>0</v>
      </c>
      <c r="Z32" s="44" t="n">
        <v>0</v>
      </c>
      <c r="AA32" s="123" t="n">
        <v>0</v>
      </c>
      <c r="AB32" s="123" t="n">
        <v>0</v>
      </c>
      <c r="AC32" s="44" t="n">
        <v>0</v>
      </c>
      <c r="AD32" s="123" t="n">
        <v>0</v>
      </c>
      <c r="AE32" s="44" t="n">
        <v>0</v>
      </c>
      <c r="AF32" s="44" t="n">
        <v>0</v>
      </c>
    </row>
    <row r="33" ht="20" customHeight="1" s="83">
      <c r="A33" s="41" t="inlineStr">
        <is>
          <t>微風門市</t>
        </is>
      </c>
      <c r="B33" s="124" t="n">
        <v>0</v>
      </c>
      <c r="C33" s="124" t="n">
        <v>0</v>
      </c>
      <c r="D33" s="46" t="n">
        <v>0</v>
      </c>
      <c r="E33" s="124" t="n">
        <v>0</v>
      </c>
      <c r="F33" s="46" t="n">
        <v>0</v>
      </c>
      <c r="G33" s="46" t="n">
        <v>0</v>
      </c>
      <c r="H33" s="124" t="n">
        <v>0</v>
      </c>
      <c r="I33" s="124" t="n">
        <v>0</v>
      </c>
      <c r="J33" s="46" t="n">
        <v>0</v>
      </c>
      <c r="K33" s="124" t="n">
        <v>0</v>
      </c>
      <c r="L33" s="46" t="n">
        <v>0</v>
      </c>
      <c r="M33" s="46" t="n">
        <v>0</v>
      </c>
      <c r="N33" s="124" t="n">
        <v>0</v>
      </c>
      <c r="O33" s="124" t="n">
        <v>0</v>
      </c>
      <c r="P33" s="46" t="n">
        <v>0</v>
      </c>
      <c r="Q33" s="124" t="n">
        <v>0</v>
      </c>
      <c r="R33" s="46" t="n">
        <v>0</v>
      </c>
      <c r="S33" s="46" t="n">
        <v>0</v>
      </c>
      <c r="T33" s="124" t="n">
        <v>0</v>
      </c>
      <c r="U33" s="124" t="n">
        <v>0</v>
      </c>
      <c r="V33" s="46" t="n">
        <v>0</v>
      </c>
      <c r="W33" s="124" t="n">
        <v>0</v>
      </c>
      <c r="X33" s="46" t="n">
        <v>0</v>
      </c>
      <c r="Y33" s="46" t="n">
        <v>0</v>
      </c>
      <c r="Z33" s="46" t="n">
        <v>0</v>
      </c>
      <c r="AA33" s="124" t="n">
        <v>0</v>
      </c>
      <c r="AB33" s="124" t="n">
        <v>0</v>
      </c>
      <c r="AC33" s="46" t="n">
        <v>0</v>
      </c>
      <c r="AD33" s="124" t="n">
        <v>0</v>
      </c>
      <c r="AE33" s="46" t="n">
        <v>0</v>
      </c>
      <c r="AF33" s="46" t="n">
        <v>0</v>
      </c>
    </row>
    <row r="34" ht="20" customHeight="1" s="83">
      <c r="A34" s="41" t="inlineStr">
        <is>
          <t>美麗華門市</t>
        </is>
      </c>
      <c r="B34" s="123" t="n">
        <v>0</v>
      </c>
      <c r="C34" s="123" t="n">
        <v>0</v>
      </c>
      <c r="D34" s="44" t="n">
        <v>0</v>
      </c>
      <c r="E34" s="123" t="n">
        <v>0</v>
      </c>
      <c r="F34" s="44" t="n">
        <v>0</v>
      </c>
      <c r="G34" s="44" t="n">
        <v>0</v>
      </c>
      <c r="H34" s="123" t="n">
        <v>0</v>
      </c>
      <c r="I34" s="123" t="n">
        <v>0</v>
      </c>
      <c r="J34" s="44" t="n">
        <v>0</v>
      </c>
      <c r="K34" s="123" t="n">
        <v>0</v>
      </c>
      <c r="L34" s="44" t="n">
        <v>0</v>
      </c>
      <c r="M34" s="44" t="n">
        <v>0</v>
      </c>
      <c r="N34" s="123" t="n">
        <v>0</v>
      </c>
      <c r="O34" s="123" t="n">
        <v>0</v>
      </c>
      <c r="P34" s="44" t="n">
        <v>0</v>
      </c>
      <c r="Q34" s="123" t="n">
        <v>0</v>
      </c>
      <c r="R34" s="44" t="n">
        <v>0</v>
      </c>
      <c r="S34" s="44" t="n">
        <v>0</v>
      </c>
      <c r="T34" s="123" t="n">
        <v>0</v>
      </c>
      <c r="U34" s="123" t="n">
        <v>0</v>
      </c>
      <c r="V34" s="44" t="n">
        <v>0</v>
      </c>
      <c r="W34" s="123" t="n">
        <v>0</v>
      </c>
      <c r="X34" s="44" t="n">
        <v>0</v>
      </c>
      <c r="Y34" s="44" t="n">
        <v>0</v>
      </c>
      <c r="Z34" s="44" t="n">
        <v>0</v>
      </c>
      <c r="AA34" s="123" t="n">
        <v>0</v>
      </c>
      <c r="AB34" s="123" t="n">
        <v>0</v>
      </c>
      <c r="AC34" s="44" t="n">
        <v>0</v>
      </c>
      <c r="AD34" s="123" t="n">
        <v>0</v>
      </c>
      <c r="AE34" s="44" t="n">
        <v>0</v>
      </c>
      <c r="AF34" s="44" t="n">
        <v>0</v>
      </c>
    </row>
    <row r="35" ht="20" customHeight="1" s="83">
      <c r="A35" s="41" t="inlineStr">
        <is>
          <t>阿波羅門市</t>
        </is>
      </c>
      <c r="B35" s="124" t="n">
        <v>0</v>
      </c>
      <c r="C35" s="124" t="n">
        <v>0</v>
      </c>
      <c r="D35" s="46" t="n">
        <v>0</v>
      </c>
      <c r="E35" s="124" t="n">
        <v>0</v>
      </c>
      <c r="F35" s="46" t="n">
        <v>0</v>
      </c>
      <c r="G35" s="46" t="n">
        <v>0</v>
      </c>
      <c r="H35" s="124" t="n">
        <v>0</v>
      </c>
      <c r="I35" s="124" t="n">
        <v>0</v>
      </c>
      <c r="J35" s="46" t="n">
        <v>0</v>
      </c>
      <c r="K35" s="124" t="n">
        <v>0</v>
      </c>
      <c r="L35" s="46" t="n">
        <v>0</v>
      </c>
      <c r="M35" s="46" t="n">
        <v>0</v>
      </c>
      <c r="N35" s="124" t="n">
        <v>0</v>
      </c>
      <c r="O35" s="124" t="n">
        <v>0</v>
      </c>
      <c r="P35" s="46" t="n">
        <v>0</v>
      </c>
      <c r="Q35" s="124" t="n">
        <v>0</v>
      </c>
      <c r="R35" s="46" t="n">
        <v>0</v>
      </c>
      <c r="S35" s="46" t="n">
        <v>0</v>
      </c>
      <c r="T35" s="124" t="n">
        <v>0</v>
      </c>
      <c r="U35" s="124" t="n">
        <v>0</v>
      </c>
      <c r="V35" s="46" t="n">
        <v>0</v>
      </c>
      <c r="W35" s="124" t="n">
        <v>0</v>
      </c>
      <c r="X35" s="46" t="n">
        <v>0</v>
      </c>
      <c r="Y35" s="46" t="n">
        <v>0</v>
      </c>
      <c r="Z35" s="46" t="n">
        <v>0</v>
      </c>
      <c r="AA35" s="124" t="n">
        <v>0</v>
      </c>
      <c r="AB35" s="124" t="n">
        <v>0</v>
      </c>
      <c r="AC35" s="46" t="n">
        <v>0</v>
      </c>
      <c r="AD35" s="124" t="n">
        <v>0</v>
      </c>
      <c r="AE35" s="46" t="n">
        <v>0</v>
      </c>
      <c r="AF35" s="46" t="n">
        <v>0</v>
      </c>
    </row>
    <row r="36" ht="20" customHeight="1" s="83">
      <c r="A36" s="41" t="inlineStr">
        <is>
          <t>大葉高島屋門市</t>
        </is>
      </c>
      <c r="B36" s="123" t="n">
        <v>0</v>
      </c>
      <c r="C36" s="123" t="n">
        <v>0</v>
      </c>
      <c r="D36" s="44" t="n">
        <v>0</v>
      </c>
      <c r="E36" s="123" t="n">
        <v>0</v>
      </c>
      <c r="F36" s="44" t="n">
        <v>0</v>
      </c>
      <c r="G36" s="44" t="n">
        <v>0</v>
      </c>
      <c r="H36" s="123" t="n">
        <v>0</v>
      </c>
      <c r="I36" s="123" t="n">
        <v>0</v>
      </c>
      <c r="J36" s="44" t="n">
        <v>0</v>
      </c>
      <c r="K36" s="123" t="n">
        <v>0</v>
      </c>
      <c r="L36" s="44" t="n">
        <v>0</v>
      </c>
      <c r="M36" s="44" t="n">
        <v>0</v>
      </c>
      <c r="N36" s="123" t="n">
        <v>0</v>
      </c>
      <c r="O36" s="123" t="n">
        <v>0</v>
      </c>
      <c r="P36" s="44" t="n">
        <v>0</v>
      </c>
      <c r="Q36" s="123" t="n">
        <v>0</v>
      </c>
      <c r="R36" s="44" t="n">
        <v>0</v>
      </c>
      <c r="S36" s="44" t="n">
        <v>0</v>
      </c>
      <c r="T36" s="123" t="n">
        <v>0</v>
      </c>
      <c r="U36" s="123" t="n">
        <v>0</v>
      </c>
      <c r="V36" s="44" t="n">
        <v>0</v>
      </c>
      <c r="W36" s="123" t="n">
        <v>0</v>
      </c>
      <c r="X36" s="44" t="n">
        <v>0</v>
      </c>
      <c r="Y36" s="44" t="n">
        <v>0</v>
      </c>
      <c r="Z36" s="44" t="n">
        <v>0</v>
      </c>
      <c r="AA36" s="123" t="n">
        <v>0</v>
      </c>
      <c r="AB36" s="123" t="n">
        <v>0</v>
      </c>
      <c r="AC36" s="44" t="n">
        <v>0</v>
      </c>
      <c r="AD36" s="123" t="n">
        <v>0</v>
      </c>
      <c r="AE36" s="44" t="n">
        <v>0</v>
      </c>
      <c r="AF36" s="44" t="n">
        <v>0</v>
      </c>
    </row>
    <row r="37" ht="20" customHeight="1" s="83">
      <c r="A37" s="41" t="inlineStr">
        <is>
          <t>羅東門市</t>
        </is>
      </c>
      <c r="B37" s="124" t="n">
        <v>0</v>
      </c>
      <c r="C37" s="124" t="n">
        <v>0</v>
      </c>
      <c r="D37" s="46" t="n">
        <v>0</v>
      </c>
      <c r="E37" s="124" t="n">
        <v>0</v>
      </c>
      <c r="F37" s="46" t="n">
        <v>0</v>
      </c>
      <c r="G37" s="46" t="n">
        <v>0</v>
      </c>
      <c r="H37" s="124" t="n">
        <v>0</v>
      </c>
      <c r="I37" s="124" t="n">
        <v>0</v>
      </c>
      <c r="J37" s="46" t="n">
        <v>0</v>
      </c>
      <c r="K37" s="124" t="n">
        <v>0</v>
      </c>
      <c r="L37" s="46" t="n">
        <v>0</v>
      </c>
      <c r="M37" s="46" t="n">
        <v>0</v>
      </c>
      <c r="N37" s="124" t="n">
        <v>0</v>
      </c>
      <c r="O37" s="124" t="n">
        <v>0</v>
      </c>
      <c r="P37" s="46" t="n">
        <v>0</v>
      </c>
      <c r="Q37" s="124" t="n">
        <v>0</v>
      </c>
      <c r="R37" s="46" t="n">
        <v>0</v>
      </c>
      <c r="S37" s="46" t="n">
        <v>0</v>
      </c>
      <c r="T37" s="124" t="n">
        <v>0</v>
      </c>
      <c r="U37" s="124" t="n">
        <v>0</v>
      </c>
      <c r="V37" s="46" t="n">
        <v>0</v>
      </c>
      <c r="W37" s="124" t="n">
        <v>0</v>
      </c>
      <c r="X37" s="46" t="n">
        <v>0</v>
      </c>
      <c r="Y37" s="46" t="n">
        <v>0</v>
      </c>
      <c r="Z37" s="46" t="n">
        <v>0</v>
      </c>
      <c r="AA37" s="124" t="n">
        <v>0</v>
      </c>
      <c r="AB37" s="124" t="n">
        <v>0</v>
      </c>
      <c r="AC37" s="46" t="n">
        <v>0</v>
      </c>
      <c r="AD37" s="124" t="n">
        <v>0</v>
      </c>
      <c r="AE37" s="46" t="n">
        <v>0</v>
      </c>
      <c r="AF37" s="46" t="n">
        <v>0</v>
      </c>
    </row>
    <row r="38" ht="20" customHeight="1" s="83">
      <c r="A38" s="47" t="inlineStr">
        <is>
          <t>Total</t>
        </is>
      </c>
      <c r="B38" s="125" t="n">
        <v>0</v>
      </c>
      <c r="C38" s="125" t="n">
        <v>0</v>
      </c>
      <c r="D38" s="49" t="n">
        <v>0</v>
      </c>
      <c r="E38" s="125" t="n">
        <v>0</v>
      </c>
      <c r="F38" s="49" t="n">
        <v>0</v>
      </c>
      <c r="G38" s="49" t="n">
        <v>0</v>
      </c>
      <c r="H38" s="125" t="n">
        <v>0</v>
      </c>
      <c r="I38" s="125" t="n">
        <v>0</v>
      </c>
      <c r="J38" s="49" t="n">
        <v>0</v>
      </c>
      <c r="K38" s="125" t="n">
        <v>0</v>
      </c>
      <c r="L38" s="49" t="n">
        <v>0</v>
      </c>
      <c r="M38" s="49" t="n">
        <v>0</v>
      </c>
      <c r="N38" s="125" t="n">
        <v>0</v>
      </c>
      <c r="O38" s="125" t="n">
        <v>0</v>
      </c>
      <c r="P38" s="49" t="n">
        <v>0</v>
      </c>
      <c r="Q38" s="125" t="n">
        <v>0</v>
      </c>
      <c r="R38" s="49" t="n">
        <v>0</v>
      </c>
      <c r="S38" s="49" t="n">
        <v>0</v>
      </c>
      <c r="T38" s="125" t="n">
        <v>0</v>
      </c>
      <c r="U38" s="125" t="n">
        <v>0</v>
      </c>
      <c r="V38" s="49" t="n">
        <v>0</v>
      </c>
      <c r="W38" s="125" t="n">
        <v>0</v>
      </c>
      <c r="X38" s="49" t="n">
        <v>0</v>
      </c>
      <c r="Y38" s="49" t="n">
        <v>0</v>
      </c>
      <c r="Z38" s="49" t="n">
        <v>0</v>
      </c>
      <c r="AA38" s="125" t="n">
        <v>0</v>
      </c>
      <c r="AB38" s="125" t="n">
        <v>0</v>
      </c>
      <c r="AC38" s="49" t="n">
        <v>0</v>
      </c>
      <c r="AD38" s="125" t="n">
        <v>0</v>
      </c>
      <c r="AE38" s="49" t="n">
        <v>0</v>
      </c>
      <c r="AF38" s="49" t="n">
        <v>0</v>
      </c>
    </row>
  </sheetData>
  <mergeCells count="2">
    <mergeCell ref="A1:AF1"/>
    <mergeCell ref="Q13:Q20"/>
  </mergeCells>
  <conditionalFormatting sqref="D4:D10">
    <cfRule type="cellIs" priority="77" operator="greaterThan" dxfId="3">
      <formula>0</formula>
    </cfRule>
    <cfRule type="cellIs" priority="78" operator="lessThan" dxfId="2">
      <formula>0</formula>
    </cfRule>
    <cfRule type="cellIs" priority="87" operator="greaterThan" dxfId="1">
      <formula>0</formula>
    </cfRule>
    <cfRule type="cellIs" priority="88" operator="lessThan" dxfId="0">
      <formula>0</formula>
    </cfRule>
  </conditionalFormatting>
  <conditionalFormatting sqref="D12 D14:D19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D14:D20">
    <cfRule type="cellIs" priority="27" operator="greaterThan" dxfId="1">
      <formula>0</formula>
    </cfRule>
    <cfRule type="cellIs" priority="28" operator="lessThan" dxfId="0">
      <formula>0</formula>
    </cfRule>
  </conditionalFormatting>
  <conditionalFormatting sqref="G4:G10">
    <cfRule type="cellIs" priority="79" operator="greaterThan" dxfId="3">
      <formula>0</formula>
    </cfRule>
    <cfRule type="cellIs" priority="80" operator="lessThan" dxfId="2">
      <formula>0</formula>
    </cfRule>
    <cfRule type="cellIs" priority="89" operator="greaterThan" dxfId="1">
      <formula>0</formula>
    </cfRule>
    <cfRule type="cellIs" priority="90" operator="lessThan" dxfId="0">
      <formula>0</formula>
    </cfRule>
  </conditionalFormatting>
  <conditionalFormatting sqref="G12 G14:G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G14:G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J4:J10 M4:M10">
    <cfRule type="cellIs" priority="81" operator="greaterThan" dxfId="3">
      <formula>0</formula>
    </cfRule>
    <cfRule type="cellIs" priority="82" operator="lessThan" dxfId="2">
      <formula>0</formula>
    </cfRule>
    <cfRule type="cellIs" priority="91" operator="greaterThan" dxfId="1">
      <formula>0</formula>
    </cfRule>
    <cfRule type="cellIs" priority="92" operator="lessThan" dxfId="0">
      <formula>0</formula>
    </cfRule>
  </conditionalFormatting>
  <conditionalFormatting sqref="J12 J14:J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J14:J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M12 M14:M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M14:M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P4:P10">
    <cfRule type="cellIs" priority="83" operator="greaterThan" dxfId="3">
      <formula>0</formula>
    </cfRule>
    <cfRule type="cellIs" priority="84" operator="lessThan" dxfId="2">
      <formula>0</formula>
    </cfRule>
    <cfRule type="cellIs" priority="93" operator="greaterThan" dxfId="1">
      <formula>0</formula>
    </cfRule>
    <cfRule type="cellIs" priority="94" operator="lessThan" dxfId="0">
      <formula>0</formula>
    </cfRule>
  </conditionalFormatting>
  <conditionalFormatting sqref="P14:P20">
    <cfRule type="cellIs" priority="17" operator="greaterThan" dxfId="1">
      <formula>0</formula>
    </cfRule>
    <cfRule type="cellIs" priority="18" operator="lessThan" dxfId="0">
      <formula>0</formula>
    </cfRule>
  </conditionalFormatting>
  <conditionalFormatting sqref="P12:Q12 P14:P19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S4:S9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S4:S10">
    <cfRule type="cellIs" priority="95" operator="greaterThan" dxfId="1">
      <formula>0</formula>
    </cfRule>
    <cfRule type="cellIs" priority="96" operator="lessThan" dxfId="0">
      <formula>0</formula>
    </cfRule>
  </conditionalFormatting>
  <conditionalFormatting sqref="S14:S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X19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Y14:Y19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Y14:Y20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AA19"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AC14:AC19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AC14:AC20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AB4:AB9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AB4:AB10">
    <cfRule type="cellIs" priority="75" operator="greaterThan" dxfId="1">
      <formula>0</formula>
    </cfRule>
    <cfRule type="cellIs" priority="76" operator="lessThan" dxfId="0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75B6"/>
    <outlinePr summaryBelow="1" summaryRight="1"/>
    <pageSetUpPr/>
  </sheetPr>
  <dimension ref="A2:AF38"/>
  <sheetViews>
    <sheetView showGridLines="0" zoomScale="7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51" sqref="E51"/>
    </sheetView>
  </sheetViews>
  <sheetFormatPr baseColWidth="10" defaultColWidth="9" defaultRowHeight="14"/>
  <cols>
    <col width="18" customWidth="1" style="83" min="1" max="1"/>
    <col width="16" customWidth="1" style="83" min="2" max="26"/>
    <col width="18" bestFit="1" customWidth="1" style="83" min="27" max="29"/>
    <col width="9.59765625" bestFit="1" customWidth="1" style="83" min="30" max="30"/>
    <col width="8.796875" bestFit="1" customWidth="1" style="83" min="31" max="31"/>
    <col width="10.3984375" bestFit="1" customWidth="1" style="83" min="33" max="33"/>
    <col width="8.3984375" bestFit="1" customWidth="1" style="83" min="34" max="34"/>
    <col width="10.59765625" bestFit="1" customWidth="1" style="83" min="35" max="35"/>
    <col width="9.59765625" bestFit="1" customWidth="1" style="83" min="36" max="36"/>
  </cols>
  <sheetData>
    <row r="2" ht="36" customHeight="1" s="83">
      <c r="A2" s="105" t="n"/>
      <c r="B2" s="105" t="inlineStr">
        <is>
          <t>總業績(未加SA Care)</t>
        </is>
      </c>
      <c r="C2" s="105" t="n"/>
      <c r="D2" s="105" t="n"/>
      <c r="E2" s="105" t="inlineStr">
        <is>
          <t>3PP(未加SA Care)</t>
        </is>
      </c>
      <c r="F2" s="105" t="n"/>
      <c r="G2" s="105" t="n"/>
      <c r="H2" s="105" t="inlineStr">
        <is>
          <t>SA Care</t>
        </is>
      </c>
      <c r="I2" s="105" t="n"/>
      <c r="J2" s="105" t="n"/>
      <c r="K2" s="105" t="inlineStr">
        <is>
          <t>AC</t>
        </is>
      </c>
      <c r="L2" s="105" t="n"/>
      <c r="M2" s="105" t="n"/>
      <c r="N2" s="105" t="inlineStr">
        <is>
          <t>總業績</t>
        </is>
      </c>
      <c r="O2" s="105" t="n"/>
      <c r="P2" s="105" t="n"/>
      <c r="Q2" s="105" t="inlineStr">
        <is>
          <t>3PP</t>
        </is>
      </c>
      <c r="R2" s="105" t="n"/>
      <c r="S2" s="105" t="n"/>
      <c r="T2" s="105" t="inlineStr">
        <is>
          <t>3PP搭售率(未加Care)</t>
        </is>
      </c>
      <c r="U2" s="105" t="inlineStr">
        <is>
          <t>3PP搭售率(未加Care)</t>
        </is>
      </c>
      <c r="V2" s="105" t="inlineStr">
        <is>
          <t>SA Care搭售率</t>
        </is>
      </c>
      <c r="W2" s="105" t="inlineStr">
        <is>
          <t>SA Care搭售率</t>
        </is>
      </c>
      <c r="X2" s="105" t="inlineStr">
        <is>
          <t>AC搭售率</t>
        </is>
      </c>
      <c r="Y2" s="105" t="inlineStr">
        <is>
          <t>AC搭售率</t>
        </is>
      </c>
      <c r="Z2" s="105" t="inlineStr">
        <is>
          <t>禮券金額</t>
        </is>
      </c>
      <c r="AA2" s="105" t="n"/>
      <c r="AB2" s="105" t="n"/>
      <c r="AC2" s="105" t="inlineStr">
        <is>
          <t>總業績差異</t>
        </is>
      </c>
      <c r="AD2" s="105" t="inlineStr">
        <is>
          <t>3PP(未加SA Care)差異</t>
        </is>
      </c>
      <c r="AE2" s="105" t="inlineStr">
        <is>
          <t>SA Care</t>
        </is>
      </c>
      <c r="AF2" s="105" t="inlineStr">
        <is>
          <t>AC</t>
        </is>
      </c>
    </row>
    <row r="3" ht="42" customHeight="1" s="83">
      <c r="A3" s="86" t="n"/>
      <c r="B3" s="70" t="inlineStr">
        <is>
          <t>總業績
(未加SA Care)
2025
01/01~04/18</t>
        </is>
      </c>
      <c r="C3" s="71" t="inlineStr">
        <is>
          <t>總業績
(未加SA Care)
2026
01/01~04/18</t>
        </is>
      </c>
      <c r="D3" s="86" t="inlineStr">
        <is>
          <t>較上週比</t>
        </is>
      </c>
      <c r="E3" s="70" t="inlineStr">
        <is>
          <t>3PP
(未加SA Care)
2025
01/01~04/18</t>
        </is>
      </c>
      <c r="F3" s="71" t="inlineStr">
        <is>
          <t>3PP
(未加SA Care)
2026
01/01~04/18</t>
        </is>
      </c>
      <c r="G3" s="86" t="inlineStr">
        <is>
          <t>較上週比</t>
        </is>
      </c>
      <c r="H3" s="70" t="inlineStr">
        <is>
          <t>SA Care
2025
01/01~04/18</t>
        </is>
      </c>
      <c r="I3" s="71" t="inlineStr">
        <is>
          <t>SA Care
2026
01/01~04/18</t>
        </is>
      </c>
      <c r="J3" s="86" t="inlineStr">
        <is>
          <t>較上週比</t>
        </is>
      </c>
      <c r="K3" s="70" t="inlineStr">
        <is>
          <t>AC
2025
01/01~04/18</t>
        </is>
      </c>
      <c r="L3" s="71" t="inlineStr">
        <is>
          <t>AC
2026
01/01~04/18</t>
        </is>
      </c>
      <c r="M3" s="86" t="inlineStr">
        <is>
          <t>較上週比</t>
        </is>
      </c>
      <c r="N3" s="70" t="inlineStr">
        <is>
          <t>總業績
2025
01/01~04/18</t>
        </is>
      </c>
      <c r="O3" s="71" t="inlineStr">
        <is>
          <t>總業績
2026
01/01~04/18</t>
        </is>
      </c>
      <c r="P3" s="86" t="inlineStr">
        <is>
          <t>較上週比</t>
        </is>
      </c>
      <c r="Q3" s="70" t="inlineStr">
        <is>
          <t>3PP
2025
01/01~04/18</t>
        </is>
      </c>
      <c r="R3" s="71" t="inlineStr">
        <is>
          <t>3PP
2026
01/01~04/18</t>
        </is>
      </c>
      <c r="S3" s="86" t="inlineStr">
        <is>
          <t>較上週比</t>
        </is>
      </c>
      <c r="T3" s="39" t="inlineStr">
        <is>
          <t>2025
01/01~04/18</t>
        </is>
      </c>
      <c r="U3" s="40" t="inlineStr">
        <is>
          <t>2026
01/01~04/18</t>
        </is>
      </c>
      <c r="V3" s="39" t="inlineStr">
        <is>
          <t>2025
01/01~04/18</t>
        </is>
      </c>
      <c r="W3" s="40" t="inlineStr">
        <is>
          <t>2026
01/01~04/18</t>
        </is>
      </c>
      <c r="X3" s="39" t="inlineStr">
        <is>
          <t>2025
01/01~04/18</t>
        </is>
      </c>
      <c r="Y3" s="40" t="inlineStr">
        <is>
          <t>2026
01/01~04/18</t>
        </is>
      </c>
      <c r="Z3" s="39" t="inlineStr">
        <is>
          <t>2025
01/01~04/18</t>
        </is>
      </c>
      <c r="AA3" s="40" t="inlineStr">
        <is>
          <t>2026
01/01~04/18</t>
        </is>
      </c>
      <c r="AB3" s="86" t="inlineStr">
        <is>
          <t>較上週比</t>
        </is>
      </c>
      <c r="AC3" s="86" t="n"/>
      <c r="AD3" s="86" t="n"/>
      <c r="AE3" s="86" t="n"/>
      <c r="AF3" s="86" t="n"/>
    </row>
    <row r="4" ht="20" customHeight="1" s="83">
      <c r="A4" s="41" t="inlineStr">
        <is>
          <t>士林門市</t>
        </is>
      </c>
      <c r="B4" s="123" t="n">
        <v>0</v>
      </c>
      <c r="C4" s="123" t="n">
        <v>0</v>
      </c>
      <c r="D4" s="43" t="n">
        <v>0</v>
      </c>
      <c r="E4" s="123" t="n">
        <v>0</v>
      </c>
      <c r="F4" s="123" t="n">
        <v>0</v>
      </c>
      <c r="G4" s="43" t="n">
        <v>0</v>
      </c>
      <c r="H4" s="123" t="n">
        <v>0</v>
      </c>
      <c r="I4" s="123" t="n">
        <v>0</v>
      </c>
      <c r="J4" s="43" t="n">
        <v>0</v>
      </c>
      <c r="K4" s="123" t="n">
        <v>0</v>
      </c>
      <c r="L4" s="123" t="n">
        <v>0</v>
      </c>
      <c r="M4" s="43" t="n">
        <v>0</v>
      </c>
      <c r="N4" s="123" t="n">
        <v>0</v>
      </c>
      <c r="O4" s="123" t="n">
        <v>0</v>
      </c>
      <c r="P4" s="43" t="n">
        <v>0</v>
      </c>
      <c r="Q4" s="123" t="n">
        <v>0</v>
      </c>
      <c r="R4" s="123" t="n">
        <v>0</v>
      </c>
      <c r="S4" s="43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123" t="n">
        <v>0</v>
      </c>
      <c r="AA4" s="123" t="n">
        <v>0</v>
      </c>
      <c r="AB4" s="43" t="n">
        <v>0</v>
      </c>
      <c r="AC4" s="123" t="n">
        <v>0</v>
      </c>
      <c r="AD4" s="123" t="n">
        <v>0</v>
      </c>
      <c r="AE4" s="123" t="n"/>
      <c r="AF4" s="123" t="n"/>
    </row>
    <row r="5" ht="20" customHeight="1" s="83">
      <c r="A5" s="41" t="inlineStr">
        <is>
          <t>微風門市</t>
        </is>
      </c>
      <c r="B5" s="124" t="n">
        <v>0</v>
      </c>
      <c r="C5" s="124" t="n">
        <v>0</v>
      </c>
      <c r="D5" s="43" t="n">
        <v>0</v>
      </c>
      <c r="E5" s="124" t="n">
        <v>0</v>
      </c>
      <c r="F5" s="124" t="n">
        <v>0</v>
      </c>
      <c r="G5" s="43" t="n">
        <v>0</v>
      </c>
      <c r="H5" s="124" t="n">
        <v>0</v>
      </c>
      <c r="I5" s="124" t="n">
        <v>0</v>
      </c>
      <c r="J5" s="43" t="n">
        <v>0</v>
      </c>
      <c r="K5" s="124" t="n">
        <v>0</v>
      </c>
      <c r="L5" s="124" t="n">
        <v>0</v>
      </c>
      <c r="M5" s="43" t="n">
        <v>0</v>
      </c>
      <c r="N5" s="124" t="n">
        <v>0</v>
      </c>
      <c r="O5" s="124" t="n">
        <v>0</v>
      </c>
      <c r="P5" s="43" t="n">
        <v>0</v>
      </c>
      <c r="Q5" s="124" t="n">
        <v>0</v>
      </c>
      <c r="R5" s="124" t="n">
        <v>0</v>
      </c>
      <c r="S5" s="43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124" t="n">
        <v>0</v>
      </c>
      <c r="AA5" s="124" t="n">
        <v>0</v>
      </c>
      <c r="AB5" s="43" t="n">
        <v>0</v>
      </c>
      <c r="AC5" s="124" t="n">
        <v>0</v>
      </c>
      <c r="AD5" s="124" t="n">
        <v>0</v>
      </c>
      <c r="AE5" s="124" t="n"/>
      <c r="AF5" s="124" t="n"/>
    </row>
    <row r="6" ht="20" customHeight="1" s="83">
      <c r="A6" s="41" t="inlineStr">
        <is>
          <t>美麗華門市</t>
        </is>
      </c>
      <c r="B6" s="123" t="n">
        <v>0</v>
      </c>
      <c r="C6" s="123" t="n">
        <v>0</v>
      </c>
      <c r="D6" s="43" t="n">
        <v>0</v>
      </c>
      <c r="E6" s="123" t="n">
        <v>0</v>
      </c>
      <c r="F6" s="123" t="n">
        <v>0</v>
      </c>
      <c r="G6" s="43" t="n">
        <v>0</v>
      </c>
      <c r="H6" s="123" t="n">
        <v>0</v>
      </c>
      <c r="I6" s="123" t="n">
        <v>0</v>
      </c>
      <c r="J6" s="43" t="n">
        <v>0</v>
      </c>
      <c r="K6" s="123" t="n">
        <v>0</v>
      </c>
      <c r="L6" s="123" t="n">
        <v>0</v>
      </c>
      <c r="M6" s="43" t="n">
        <v>0</v>
      </c>
      <c r="N6" s="123" t="n">
        <v>0</v>
      </c>
      <c r="O6" s="123" t="n">
        <v>0</v>
      </c>
      <c r="P6" s="43" t="n">
        <v>0</v>
      </c>
      <c r="Q6" s="123" t="n">
        <v>0</v>
      </c>
      <c r="R6" s="123" t="n">
        <v>0</v>
      </c>
      <c r="S6" s="43" t="n">
        <v>0</v>
      </c>
      <c r="T6" s="44" t="n">
        <v>0</v>
      </c>
      <c r="U6" s="4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123" t="n">
        <v>0</v>
      </c>
      <c r="AA6" s="123" t="n">
        <v>0</v>
      </c>
      <c r="AB6" s="43" t="n">
        <v>0</v>
      </c>
      <c r="AC6" s="123" t="n">
        <v>0</v>
      </c>
      <c r="AD6" s="123" t="n">
        <v>0</v>
      </c>
      <c r="AE6" s="123" t="n"/>
      <c r="AF6" s="123" t="n"/>
    </row>
    <row r="7" ht="20" customHeight="1" s="83">
      <c r="A7" s="41" t="inlineStr">
        <is>
          <t>阿波羅門市</t>
        </is>
      </c>
      <c r="B7" s="124" t="n">
        <v>0</v>
      </c>
      <c r="C7" s="124" t="n">
        <v>0</v>
      </c>
      <c r="D7" s="43" t="n">
        <v>0</v>
      </c>
      <c r="E7" s="124" t="n">
        <v>0</v>
      </c>
      <c r="F7" s="124" t="n">
        <v>0</v>
      </c>
      <c r="G7" s="43" t="n">
        <v>0</v>
      </c>
      <c r="H7" s="124" t="n">
        <v>0</v>
      </c>
      <c r="I7" s="124" t="n">
        <v>0</v>
      </c>
      <c r="J7" s="43" t="n">
        <v>0</v>
      </c>
      <c r="K7" s="124" t="n">
        <v>0</v>
      </c>
      <c r="L7" s="124" t="n">
        <v>0</v>
      </c>
      <c r="M7" s="43" t="n">
        <v>0</v>
      </c>
      <c r="N7" s="124" t="n">
        <v>0</v>
      </c>
      <c r="O7" s="124" t="n">
        <v>0</v>
      </c>
      <c r="P7" s="43" t="n">
        <v>0</v>
      </c>
      <c r="Q7" s="124" t="n">
        <v>0</v>
      </c>
      <c r="R7" s="124" t="n">
        <v>0</v>
      </c>
      <c r="S7" s="43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124" t="n">
        <v>0</v>
      </c>
      <c r="AA7" s="124" t="n">
        <v>0</v>
      </c>
      <c r="AB7" s="43" t="n">
        <v>0</v>
      </c>
      <c r="AC7" s="124" t="n">
        <v>0</v>
      </c>
      <c r="AD7" s="124" t="n">
        <v>0</v>
      </c>
      <c r="AE7" s="124" t="n"/>
      <c r="AF7" s="124" t="n"/>
    </row>
    <row r="8" ht="20" customHeight="1" s="83">
      <c r="A8" s="41" t="inlineStr">
        <is>
          <t>大葉高島屋門市</t>
        </is>
      </c>
      <c r="B8" s="123" t="n">
        <v>0</v>
      </c>
      <c r="C8" s="123" t="n">
        <v>0</v>
      </c>
      <c r="D8" s="43" t="n">
        <v>0</v>
      </c>
      <c r="E8" s="123" t="n">
        <v>0</v>
      </c>
      <c r="F8" s="123" t="n">
        <v>0</v>
      </c>
      <c r="G8" s="43" t="n">
        <v>0</v>
      </c>
      <c r="H8" s="123" t="n">
        <v>0</v>
      </c>
      <c r="I8" s="123" t="n">
        <v>0</v>
      </c>
      <c r="J8" s="43" t="n">
        <v>0</v>
      </c>
      <c r="K8" s="123" t="n">
        <v>0</v>
      </c>
      <c r="L8" s="123" t="n">
        <v>0</v>
      </c>
      <c r="M8" s="43" t="n">
        <v>0</v>
      </c>
      <c r="N8" s="123" t="n">
        <v>0</v>
      </c>
      <c r="O8" s="123" t="n">
        <v>0</v>
      </c>
      <c r="P8" s="43" t="n">
        <v>0</v>
      </c>
      <c r="Q8" s="123" t="n">
        <v>0</v>
      </c>
      <c r="R8" s="123" t="n">
        <v>0</v>
      </c>
      <c r="S8" s="43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123" t="n">
        <v>0</v>
      </c>
      <c r="AA8" s="123" t="n">
        <v>0</v>
      </c>
      <c r="AB8" s="43" t="n">
        <v>0</v>
      </c>
      <c r="AC8" s="123" t="n">
        <v>0</v>
      </c>
      <c r="AD8" s="123" t="n">
        <v>0</v>
      </c>
      <c r="AE8" s="123" t="n"/>
      <c r="AF8" s="123" t="n"/>
    </row>
    <row r="9" ht="20" customHeight="1" s="83">
      <c r="A9" s="41" t="inlineStr">
        <is>
          <t>羅東門市</t>
        </is>
      </c>
      <c r="B9" s="124" t="n">
        <v>0</v>
      </c>
      <c r="C9" s="124" t="n">
        <v>0</v>
      </c>
      <c r="D9" s="43" t="n">
        <v>0</v>
      </c>
      <c r="E9" s="124" t="n">
        <v>0</v>
      </c>
      <c r="F9" s="124" t="n">
        <v>0</v>
      </c>
      <c r="G9" s="43" t="n">
        <v>0</v>
      </c>
      <c r="H9" s="124" t="n">
        <v>0</v>
      </c>
      <c r="I9" s="124" t="n">
        <v>0</v>
      </c>
      <c r="J9" s="43" t="n">
        <v>0</v>
      </c>
      <c r="K9" s="124" t="n">
        <v>0</v>
      </c>
      <c r="L9" s="124" t="n">
        <v>0</v>
      </c>
      <c r="M9" s="43" t="n">
        <v>0</v>
      </c>
      <c r="N9" s="124" t="n">
        <v>0</v>
      </c>
      <c r="O9" s="124" t="n">
        <v>0</v>
      </c>
      <c r="P9" s="43" t="n">
        <v>0</v>
      </c>
      <c r="Q9" s="124" t="n">
        <v>0</v>
      </c>
      <c r="R9" s="124" t="n">
        <v>0</v>
      </c>
      <c r="S9" s="43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124" t="n">
        <v>0</v>
      </c>
      <c r="AA9" s="124" t="n">
        <v>0</v>
      </c>
      <c r="AB9" s="43" t="n">
        <v>0</v>
      </c>
      <c r="AC9" s="124" t="n">
        <v>0</v>
      </c>
      <c r="AD9" s="124" t="n">
        <v>0</v>
      </c>
      <c r="AE9" s="124" t="n"/>
      <c r="AF9" s="124" t="n"/>
    </row>
    <row r="10" ht="20" customHeight="1" s="83">
      <c r="A10" s="47" t="inlineStr">
        <is>
          <t>Total</t>
        </is>
      </c>
      <c r="B10" s="125" t="n">
        <v>0</v>
      </c>
      <c r="C10" s="125" t="n">
        <v>0</v>
      </c>
      <c r="D10" s="49" t="n">
        <v>0</v>
      </c>
      <c r="E10" s="125" t="n">
        <v>0</v>
      </c>
      <c r="F10" s="125" t="n">
        <v>0</v>
      </c>
      <c r="G10" s="49" t="n">
        <v>0</v>
      </c>
      <c r="H10" s="125" t="n">
        <v>0</v>
      </c>
      <c r="I10" s="125" t="n">
        <v>0</v>
      </c>
      <c r="J10" s="49" t="n">
        <v>0</v>
      </c>
      <c r="K10" s="125" t="n">
        <v>0</v>
      </c>
      <c r="L10" s="125" t="n">
        <v>0</v>
      </c>
      <c r="M10" s="49" t="n">
        <v>0</v>
      </c>
      <c r="N10" s="125" t="n">
        <v>0</v>
      </c>
      <c r="O10" s="125" t="n">
        <v>0</v>
      </c>
      <c r="P10" s="49" t="n">
        <v>0</v>
      </c>
      <c r="Q10" s="125" t="n">
        <v>0</v>
      </c>
      <c r="R10" s="125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125" t="n">
        <v>0</v>
      </c>
      <c r="AA10" s="125" t="n">
        <v>0</v>
      </c>
      <c r="AB10" s="49" t="n">
        <v>0</v>
      </c>
      <c r="AC10" s="125" t="n">
        <v>0</v>
      </c>
      <c r="AD10" s="125" t="n">
        <v>0</v>
      </c>
      <c r="AE10" s="125" t="n"/>
      <c r="AF10" s="125" t="n"/>
    </row>
    <row r="12" ht="26" customHeight="1" s="83">
      <c r="A12" s="72" t="n"/>
      <c r="B12" s="72" t="inlineStr">
        <is>
          <t>CPU</t>
        </is>
      </c>
      <c r="C12" s="72" t="n"/>
      <c r="D12" s="72" t="n"/>
      <c r="E12" s="72" t="inlineStr">
        <is>
          <t>iPad</t>
        </is>
      </c>
      <c r="F12" s="72" t="n"/>
      <c r="G12" s="72" t="n"/>
      <c r="H12" s="72" t="inlineStr">
        <is>
          <t>iPhone</t>
        </is>
      </c>
      <c r="I12" s="72" t="n"/>
      <c r="J12" s="72" t="n"/>
      <c r="K12" s="72" t="inlineStr">
        <is>
          <t>Watch</t>
        </is>
      </c>
      <c r="L12" s="72" t="n"/>
      <c r="M12" s="72" t="n"/>
      <c r="N12" s="72" t="inlineStr">
        <is>
          <t>AirPods</t>
        </is>
      </c>
      <c r="O12" s="72" t="n"/>
      <c r="P12" s="72" t="n"/>
      <c r="Q12" s="72" t="n"/>
      <c r="R12" s="72" t="inlineStr">
        <is>
          <t>上週</t>
        </is>
      </c>
      <c r="S12" s="72" t="n"/>
      <c r="T12" s="72" t="n"/>
      <c r="U12" s="72" t="inlineStr">
        <is>
          <t>本週</t>
        </is>
      </c>
      <c r="V12" s="72" t="n"/>
      <c r="W12" s="72" t="n"/>
      <c r="X12" s="72" t="n"/>
      <c r="Y12" s="72" t="n"/>
      <c r="Z12" s="72" t="inlineStr">
        <is>
          <t>平均單價</t>
        </is>
      </c>
      <c r="AA12" s="72" t="n"/>
      <c r="AB12" s="72" t="n"/>
      <c r="AC12" s="72" t="n"/>
    </row>
    <row r="13" ht="42" customHeight="1" s="83">
      <c r="A13" s="86" t="n"/>
      <c r="B13" s="39" t="inlineStr">
        <is>
          <t>2025
01/01~04/18</t>
        </is>
      </c>
      <c r="C13" s="40" t="inlineStr">
        <is>
          <t>2026
01/01~04/18</t>
        </is>
      </c>
      <c r="D13" s="86" t="inlineStr">
        <is>
          <t>較上週比</t>
        </is>
      </c>
      <c r="E13" s="39" t="inlineStr">
        <is>
          <t>2025
01/01~04/18</t>
        </is>
      </c>
      <c r="F13" s="40" t="inlineStr">
        <is>
          <t>2026
01/01~04/18</t>
        </is>
      </c>
      <c r="G13" s="86" t="inlineStr">
        <is>
          <t>較上週比</t>
        </is>
      </c>
      <c r="H13" s="39" t="inlineStr">
        <is>
          <t>2025
01/01~04/18</t>
        </is>
      </c>
      <c r="I13" s="40" t="inlineStr">
        <is>
          <t>2026
01/01~04/18</t>
        </is>
      </c>
      <c r="J13" s="86" t="inlineStr">
        <is>
          <t>較上週比</t>
        </is>
      </c>
      <c r="K13" s="39" t="inlineStr">
        <is>
          <t>2025
01/01~04/18</t>
        </is>
      </c>
      <c r="L13" s="40" t="inlineStr">
        <is>
          <t>2026
01/01~04/18</t>
        </is>
      </c>
      <c r="M13" s="86" t="inlineStr">
        <is>
          <t>較上週比</t>
        </is>
      </c>
      <c r="N13" s="39" t="inlineStr">
        <is>
          <t>2025
01/01~04/18</t>
        </is>
      </c>
      <c r="O13" s="40" t="inlineStr">
        <is>
          <t>2026
01/01~04/18</t>
        </is>
      </c>
      <c r="P13" s="86" t="inlineStr">
        <is>
          <t>較上週比</t>
        </is>
      </c>
      <c r="Q13" s="86" t="n"/>
      <c r="R13" s="86" t="inlineStr">
        <is>
          <t>成交筆數</t>
        </is>
      </c>
      <c r="S13" s="86" t="inlineStr">
        <is>
          <t>人流</t>
        </is>
      </c>
      <c r="T13" s="86" t="inlineStr">
        <is>
          <t>提袋率</t>
        </is>
      </c>
      <c r="U13" s="86" t="inlineStr">
        <is>
          <t>成交筆數</t>
        </is>
      </c>
      <c r="V13" s="86" t="inlineStr">
        <is>
          <t>人流</t>
        </is>
      </c>
      <c r="W13" s="86" t="inlineStr">
        <is>
          <t>提袋率</t>
        </is>
      </c>
      <c r="X13" s="86" t="inlineStr">
        <is>
          <t>差異人流</t>
        </is>
      </c>
      <c r="Y13" s="86" t="inlineStr">
        <is>
          <t>較上週比</t>
        </is>
      </c>
      <c r="Z13" s="39" t="inlineStr">
        <is>
          <t>2025
01/01~04/18</t>
        </is>
      </c>
      <c r="AA13" s="40" t="inlineStr">
        <is>
          <t>2026
01/01~04/18</t>
        </is>
      </c>
      <c r="AB13" s="86" t="inlineStr">
        <is>
          <t>差異金額</t>
        </is>
      </c>
      <c r="AC13" s="86" t="inlineStr">
        <is>
          <t>較上週比</t>
        </is>
      </c>
    </row>
    <row r="14" ht="20" customHeight="1" s="83">
      <c r="A14" s="73" t="inlineStr">
        <is>
          <t>士林門市</t>
        </is>
      </c>
      <c r="B14" s="123" t="n">
        <v>0</v>
      </c>
      <c r="C14" s="123" t="n">
        <v>0</v>
      </c>
      <c r="D14" s="74" t="n">
        <v>0</v>
      </c>
      <c r="E14" s="123" t="n">
        <v>0</v>
      </c>
      <c r="F14" s="123" t="n">
        <v>0</v>
      </c>
      <c r="G14" s="74" t="n">
        <v>0</v>
      </c>
      <c r="H14" s="123" t="n">
        <v>0</v>
      </c>
      <c r="I14" s="123" t="n">
        <v>0</v>
      </c>
      <c r="J14" s="74" t="n">
        <v>0</v>
      </c>
      <c r="K14" s="123" t="n">
        <v>0</v>
      </c>
      <c r="L14" s="123" t="n">
        <v>0</v>
      </c>
      <c r="M14" s="74" t="n">
        <v>0</v>
      </c>
      <c r="N14" s="123" t="n">
        <v>0</v>
      </c>
      <c r="O14" s="123" t="n">
        <v>0</v>
      </c>
      <c r="P14" s="74" t="n">
        <v>0</v>
      </c>
      <c r="Q14" s="126" t="n"/>
      <c r="R14" s="123" t="n">
        <v>0</v>
      </c>
      <c r="S14" s="87" t="n"/>
      <c r="T14" s="87" t="n"/>
      <c r="U14" s="123" t="n">
        <v>0</v>
      </c>
      <c r="V14" s="87" t="n"/>
      <c r="W14" s="87" t="n"/>
      <c r="X14" s="87" t="n"/>
      <c r="Y14" s="74" t="n">
        <v>0</v>
      </c>
      <c r="Z14" s="87" t="n"/>
      <c r="AA14" s="87" t="n"/>
      <c r="AB14" s="87" t="n"/>
      <c r="AC14" s="74" t="n">
        <v>0</v>
      </c>
    </row>
    <row r="15" ht="20" customHeight="1" s="83">
      <c r="A15" s="73" t="inlineStr">
        <is>
          <t>微風門市</t>
        </is>
      </c>
      <c r="B15" s="124" t="n">
        <v>0</v>
      </c>
      <c r="C15" s="124" t="n">
        <v>0</v>
      </c>
      <c r="D15" s="74" t="n">
        <v>0</v>
      </c>
      <c r="E15" s="124" t="n">
        <v>0</v>
      </c>
      <c r="F15" s="124" t="n">
        <v>0</v>
      </c>
      <c r="G15" s="74" t="n">
        <v>0</v>
      </c>
      <c r="H15" s="124" t="n">
        <v>0</v>
      </c>
      <c r="I15" s="124" t="n">
        <v>0</v>
      </c>
      <c r="J15" s="74" t="n">
        <v>0</v>
      </c>
      <c r="K15" s="124" t="n">
        <v>0</v>
      </c>
      <c r="L15" s="124" t="n">
        <v>0</v>
      </c>
      <c r="M15" s="74" t="n">
        <v>0</v>
      </c>
      <c r="N15" s="124" t="n">
        <v>0</v>
      </c>
      <c r="O15" s="124" t="n">
        <v>0</v>
      </c>
      <c r="P15" s="74" t="n">
        <v>0</v>
      </c>
      <c r="Q15" s="126" t="n"/>
      <c r="R15" s="124" t="n">
        <v>0</v>
      </c>
      <c r="S15" s="50" t="n"/>
      <c r="T15" s="50" t="n"/>
      <c r="U15" s="124" t="n">
        <v>0</v>
      </c>
      <c r="V15" s="50" t="n"/>
      <c r="W15" s="50" t="n"/>
      <c r="X15" s="50" t="n"/>
      <c r="Y15" s="74" t="n">
        <v>0</v>
      </c>
      <c r="Z15" s="50" t="n"/>
      <c r="AA15" s="50" t="n"/>
      <c r="AB15" s="50" t="n"/>
      <c r="AC15" s="74" t="n">
        <v>0</v>
      </c>
    </row>
    <row r="16" ht="20" customHeight="1" s="83">
      <c r="A16" s="73" t="inlineStr">
        <is>
          <t>美麗華門市</t>
        </is>
      </c>
      <c r="B16" s="123" t="n">
        <v>0</v>
      </c>
      <c r="C16" s="123" t="n">
        <v>0</v>
      </c>
      <c r="D16" s="74" t="n">
        <v>0</v>
      </c>
      <c r="E16" s="123" t="n">
        <v>0</v>
      </c>
      <c r="F16" s="123" t="n">
        <v>0</v>
      </c>
      <c r="G16" s="74" t="n">
        <v>0</v>
      </c>
      <c r="H16" s="123" t="n">
        <v>0</v>
      </c>
      <c r="I16" s="123" t="n">
        <v>0</v>
      </c>
      <c r="J16" s="74" t="n">
        <v>0</v>
      </c>
      <c r="K16" s="123" t="n">
        <v>0</v>
      </c>
      <c r="L16" s="123" t="n">
        <v>0</v>
      </c>
      <c r="M16" s="74" t="n">
        <v>0</v>
      </c>
      <c r="N16" s="123" t="n">
        <v>0</v>
      </c>
      <c r="O16" s="123" t="n">
        <v>0</v>
      </c>
      <c r="P16" s="74" t="n">
        <v>0</v>
      </c>
      <c r="Q16" s="126" t="n"/>
      <c r="R16" s="123" t="n">
        <v>0</v>
      </c>
      <c r="S16" s="87" t="n"/>
      <c r="T16" s="87" t="n"/>
      <c r="U16" s="123" t="n">
        <v>0</v>
      </c>
      <c r="V16" s="87" t="n"/>
      <c r="W16" s="87" t="n"/>
      <c r="X16" s="87" t="n"/>
      <c r="Y16" s="74" t="n">
        <v>0</v>
      </c>
      <c r="Z16" s="87" t="n"/>
      <c r="AA16" s="87" t="n"/>
      <c r="AB16" s="87" t="n"/>
      <c r="AC16" s="74" t="n">
        <v>0</v>
      </c>
    </row>
    <row r="17" ht="20" customHeight="1" s="83">
      <c r="A17" s="73" t="inlineStr">
        <is>
          <t>阿波羅門市</t>
        </is>
      </c>
      <c r="B17" s="124" t="n">
        <v>0</v>
      </c>
      <c r="C17" s="124" t="n">
        <v>0</v>
      </c>
      <c r="D17" s="74" t="n">
        <v>0</v>
      </c>
      <c r="E17" s="124" t="n">
        <v>0</v>
      </c>
      <c r="F17" s="124" t="n">
        <v>0</v>
      </c>
      <c r="G17" s="74" t="n">
        <v>0</v>
      </c>
      <c r="H17" s="124" t="n">
        <v>0</v>
      </c>
      <c r="I17" s="124" t="n">
        <v>0</v>
      </c>
      <c r="J17" s="74" t="n">
        <v>0</v>
      </c>
      <c r="K17" s="124" t="n">
        <v>0</v>
      </c>
      <c r="L17" s="124" t="n">
        <v>0</v>
      </c>
      <c r="M17" s="74" t="n">
        <v>0</v>
      </c>
      <c r="N17" s="124" t="n">
        <v>0</v>
      </c>
      <c r="O17" s="124" t="n">
        <v>0</v>
      </c>
      <c r="P17" s="74" t="n">
        <v>0</v>
      </c>
      <c r="Q17" s="126" t="n"/>
      <c r="R17" s="124" t="n">
        <v>0</v>
      </c>
      <c r="S17" s="50" t="n"/>
      <c r="T17" s="50" t="n"/>
      <c r="U17" s="124" t="n">
        <v>0</v>
      </c>
      <c r="V17" s="50" t="n"/>
      <c r="W17" s="50" t="n"/>
      <c r="X17" s="50" t="n"/>
      <c r="Y17" s="74" t="n">
        <v>0</v>
      </c>
      <c r="Z17" s="50" t="n"/>
      <c r="AA17" s="50" t="n"/>
      <c r="AB17" s="50" t="n"/>
      <c r="AC17" s="74" t="n">
        <v>0</v>
      </c>
    </row>
    <row r="18" ht="20" customHeight="1" s="83">
      <c r="A18" s="73" t="inlineStr">
        <is>
          <t>大葉高島屋門市</t>
        </is>
      </c>
      <c r="B18" s="123" t="n">
        <v>0</v>
      </c>
      <c r="C18" s="123" t="n">
        <v>0</v>
      </c>
      <c r="D18" s="74" t="n">
        <v>0</v>
      </c>
      <c r="E18" s="123" t="n">
        <v>0</v>
      </c>
      <c r="F18" s="123" t="n">
        <v>0</v>
      </c>
      <c r="G18" s="74" t="n">
        <v>0</v>
      </c>
      <c r="H18" s="123" t="n">
        <v>0</v>
      </c>
      <c r="I18" s="123" t="n">
        <v>0</v>
      </c>
      <c r="J18" s="74" t="n">
        <v>0</v>
      </c>
      <c r="K18" s="123" t="n">
        <v>0</v>
      </c>
      <c r="L18" s="123" t="n">
        <v>0</v>
      </c>
      <c r="M18" s="74" t="n">
        <v>0</v>
      </c>
      <c r="N18" s="123" t="n">
        <v>0</v>
      </c>
      <c r="O18" s="123" t="n">
        <v>0</v>
      </c>
      <c r="P18" s="74" t="n">
        <v>0</v>
      </c>
      <c r="Q18" s="126" t="n"/>
      <c r="R18" s="123" t="n">
        <v>0</v>
      </c>
      <c r="S18" s="87" t="n"/>
      <c r="T18" s="87" t="n"/>
      <c r="U18" s="123" t="n">
        <v>0</v>
      </c>
      <c r="V18" s="87" t="n"/>
      <c r="W18" s="87" t="n"/>
      <c r="X18" s="87" t="n"/>
      <c r="Y18" s="74" t="n">
        <v>0</v>
      </c>
      <c r="Z18" s="87" t="n"/>
      <c r="AA18" s="87" t="n"/>
      <c r="AB18" s="87" t="n"/>
      <c r="AC18" s="74" t="n">
        <v>0</v>
      </c>
    </row>
    <row r="19" ht="20" customHeight="1" s="83">
      <c r="A19" s="73" t="inlineStr">
        <is>
          <t>羅東門市</t>
        </is>
      </c>
      <c r="B19" s="124" t="n">
        <v>0</v>
      </c>
      <c r="C19" s="124" t="n">
        <v>0</v>
      </c>
      <c r="D19" s="74" t="n">
        <v>0</v>
      </c>
      <c r="E19" s="124" t="n">
        <v>0</v>
      </c>
      <c r="F19" s="124" t="n">
        <v>0</v>
      </c>
      <c r="G19" s="74" t="n">
        <v>0</v>
      </c>
      <c r="H19" s="124" t="n">
        <v>0</v>
      </c>
      <c r="I19" s="124" t="n">
        <v>0</v>
      </c>
      <c r="J19" s="74" t="n">
        <v>0</v>
      </c>
      <c r="K19" s="124" t="n">
        <v>0</v>
      </c>
      <c r="L19" s="124" t="n">
        <v>0</v>
      </c>
      <c r="M19" s="74" t="n">
        <v>0</v>
      </c>
      <c r="N19" s="124" t="n">
        <v>0</v>
      </c>
      <c r="O19" s="124" t="n">
        <v>0</v>
      </c>
      <c r="P19" s="74" t="n">
        <v>0</v>
      </c>
      <c r="Q19" s="126" t="n"/>
      <c r="R19" s="124" t="n">
        <v>0</v>
      </c>
      <c r="S19" s="50">
        <f>R19*0.85/0.3</f>
        <v/>
      </c>
      <c r="T19" s="50" t="n"/>
      <c r="U19" s="124" t="n">
        <v>0</v>
      </c>
      <c r="V19" s="50">
        <f>U19*0.85/0.3</f>
        <v/>
      </c>
      <c r="W19" s="50" t="n"/>
      <c r="X19" s="50" t="n"/>
      <c r="Y19" s="74" t="n">
        <v>0</v>
      </c>
      <c r="Z19" s="50" t="n"/>
      <c r="AA19" s="50" t="n"/>
      <c r="AB19" s="50" t="n"/>
      <c r="AC19" s="74" t="n">
        <v>0</v>
      </c>
    </row>
    <row r="20" ht="20" customHeight="1" s="83">
      <c r="A20" s="47" t="inlineStr">
        <is>
          <t>Total</t>
        </is>
      </c>
      <c r="B20" s="125" t="n">
        <v>0</v>
      </c>
      <c r="C20" s="125" t="n">
        <v>0</v>
      </c>
      <c r="D20" s="49" t="n">
        <v>0</v>
      </c>
      <c r="E20" s="125" t="n">
        <v>0</v>
      </c>
      <c r="F20" s="125" t="n">
        <v>0</v>
      </c>
      <c r="G20" s="49" t="n">
        <v>0</v>
      </c>
      <c r="H20" s="125" t="n">
        <v>0</v>
      </c>
      <c r="I20" s="125" t="n">
        <v>0</v>
      </c>
      <c r="J20" s="49" t="n">
        <v>0</v>
      </c>
      <c r="K20" s="125" t="n">
        <v>0</v>
      </c>
      <c r="L20" s="125" t="n">
        <v>0</v>
      </c>
      <c r="M20" s="49" t="n">
        <v>0</v>
      </c>
      <c r="N20" s="125" t="n">
        <v>0</v>
      </c>
      <c r="O20" s="125" t="n">
        <v>0</v>
      </c>
      <c r="P20" s="49" t="n">
        <v>0</v>
      </c>
      <c r="Q20" s="127" t="n"/>
      <c r="R20" s="125" t="n">
        <v>0</v>
      </c>
      <c r="S20" s="88" t="n"/>
      <c r="T20" s="88" t="n"/>
      <c r="U20" s="125" t="n">
        <v>0</v>
      </c>
      <c r="V20" s="88" t="n"/>
      <c r="W20" s="88" t="n"/>
      <c r="X20" s="88" t="n"/>
      <c r="Y20" s="49" t="n">
        <v>0</v>
      </c>
      <c r="Z20" s="88" t="n"/>
      <c r="AA20" s="88" t="n"/>
      <c r="AB20" s="88" t="n"/>
      <c r="AC20" s="49" t="n">
        <v>0</v>
      </c>
    </row>
    <row r="22" ht="42" customHeight="1" s="83">
      <c r="A22" s="40" t="inlineStr">
        <is>
          <t>2026
01/01~04/18</t>
        </is>
      </c>
      <c r="B22" s="86" t="inlineStr">
        <is>
          <t>CPU</t>
        </is>
      </c>
      <c r="C22" s="86" t="inlineStr">
        <is>
          <t>Mac ACPP+</t>
        </is>
      </c>
      <c r="D22" s="86" t="inlineStr">
        <is>
          <t>ACPP+搭售率</t>
        </is>
      </c>
      <c r="E22" s="86" t="inlineStr">
        <is>
          <t>Mac SACare</t>
        </is>
      </c>
      <c r="F22" s="86" t="inlineStr">
        <is>
          <t>SACare搭售率</t>
        </is>
      </c>
      <c r="G22" s="86" t="inlineStr">
        <is>
          <t>合計搭售率</t>
        </is>
      </c>
      <c r="H22" s="86" t="inlineStr">
        <is>
          <t>Watch</t>
        </is>
      </c>
      <c r="I22" s="86" t="inlineStr">
        <is>
          <t>Watch ACPP+</t>
        </is>
      </c>
      <c r="J22" s="86" t="inlineStr">
        <is>
          <t>ACPP+搭售率</t>
        </is>
      </c>
      <c r="K22" s="86" t="inlineStr">
        <is>
          <t>Watch SACare</t>
        </is>
      </c>
      <c r="L22" s="86" t="inlineStr">
        <is>
          <t>SACare搭售率</t>
        </is>
      </c>
      <c r="M22" s="86" t="inlineStr">
        <is>
          <t>合計搭售率</t>
        </is>
      </c>
      <c r="N22" s="86" t="inlineStr">
        <is>
          <t>iPad</t>
        </is>
      </c>
      <c r="O22" s="86" t="inlineStr">
        <is>
          <t>iPad ACPP+</t>
        </is>
      </c>
      <c r="P22" s="86" t="inlineStr">
        <is>
          <t>ACPP+搭售率</t>
        </is>
      </c>
      <c r="Q22" s="86" t="inlineStr">
        <is>
          <t>iPad SACare</t>
        </is>
      </c>
      <c r="R22" s="86" t="inlineStr">
        <is>
          <t>SACare搭售率</t>
        </is>
      </c>
      <c r="S22" s="86" t="inlineStr">
        <is>
          <t>合計搭售率</t>
        </is>
      </c>
      <c r="T22" s="86" t="inlineStr">
        <is>
          <t>iPhone</t>
        </is>
      </c>
      <c r="U22" s="86" t="inlineStr">
        <is>
          <t>iPhone ACPP+</t>
        </is>
      </c>
      <c r="V22" s="86" t="inlineStr">
        <is>
          <t>ACPP+搭售率</t>
        </is>
      </c>
      <c r="W22" s="86" t="inlineStr">
        <is>
          <t>iPhone SACare</t>
        </is>
      </c>
      <c r="X22" s="86" t="inlineStr">
        <is>
          <t>SACare搭售率</t>
        </is>
      </c>
      <c r="Y22" s="86" t="inlineStr">
        <is>
          <t>合計搭售率</t>
        </is>
      </c>
      <c r="Z22" s="86" t="inlineStr">
        <is>
          <t>iOS搭售率</t>
        </is>
      </c>
      <c r="AA22" s="86" t="inlineStr">
        <is>
          <t>Airpods</t>
        </is>
      </c>
      <c r="AB22" s="86" t="inlineStr">
        <is>
          <t>ACPP+</t>
        </is>
      </c>
      <c r="AC22" s="86" t="inlineStr">
        <is>
          <t>ACPP+搭售率</t>
        </is>
      </c>
      <c r="AD22" s="86" t="inlineStr">
        <is>
          <t>SACare</t>
        </is>
      </c>
      <c r="AE22" s="86" t="inlineStr">
        <is>
          <t>SACare搭售率</t>
        </is>
      </c>
      <c r="AF22" s="86" t="inlineStr">
        <is>
          <t>合計搭售率</t>
        </is>
      </c>
    </row>
    <row r="23" ht="20" customHeight="1" s="83">
      <c r="A23" s="41" t="inlineStr">
        <is>
          <t>士林門市</t>
        </is>
      </c>
      <c r="B23" s="123" t="n">
        <v>0</v>
      </c>
      <c r="C23" s="123" t="n">
        <v>0</v>
      </c>
      <c r="D23" s="44" t="n">
        <v>0</v>
      </c>
      <c r="E23" s="123" t="n">
        <v>0</v>
      </c>
      <c r="F23" s="44" t="n">
        <v>0</v>
      </c>
      <c r="G23" s="44" t="n">
        <v>0</v>
      </c>
      <c r="H23" s="123" t="n">
        <v>0</v>
      </c>
      <c r="I23" s="123" t="n">
        <v>0</v>
      </c>
      <c r="J23" s="44" t="n">
        <v>0</v>
      </c>
      <c r="K23" s="123" t="n">
        <v>0</v>
      </c>
      <c r="L23" s="44" t="n">
        <v>0</v>
      </c>
      <c r="M23" s="44" t="n">
        <v>0</v>
      </c>
      <c r="N23" s="123" t="n">
        <v>0</v>
      </c>
      <c r="O23" s="123" t="n">
        <v>0</v>
      </c>
      <c r="P23" s="44" t="n">
        <v>0</v>
      </c>
      <c r="Q23" s="123" t="n">
        <v>0</v>
      </c>
      <c r="R23" s="44" t="n">
        <v>0</v>
      </c>
      <c r="S23" s="44" t="n">
        <v>0</v>
      </c>
      <c r="T23" s="123" t="n">
        <v>0</v>
      </c>
      <c r="U23" s="123" t="n">
        <v>0</v>
      </c>
      <c r="V23" s="44" t="n">
        <v>0</v>
      </c>
      <c r="W23" s="123" t="n">
        <v>0</v>
      </c>
      <c r="X23" s="44" t="n">
        <v>0</v>
      </c>
      <c r="Y23" s="44" t="n">
        <v>0</v>
      </c>
      <c r="Z23" s="44" t="n">
        <v>0</v>
      </c>
      <c r="AA23" s="123" t="n">
        <v>0</v>
      </c>
      <c r="AB23" s="123" t="n">
        <v>0</v>
      </c>
      <c r="AC23" s="44" t="n">
        <v>0</v>
      </c>
      <c r="AD23" s="123" t="n">
        <v>0</v>
      </c>
      <c r="AE23" s="44" t="n">
        <v>0</v>
      </c>
      <c r="AF23" s="44" t="n">
        <v>0</v>
      </c>
    </row>
    <row r="24" ht="20" customHeight="1" s="83">
      <c r="A24" s="41" t="inlineStr">
        <is>
          <t>微風門市</t>
        </is>
      </c>
      <c r="B24" s="124" t="n">
        <v>0</v>
      </c>
      <c r="C24" s="124" t="n">
        <v>0</v>
      </c>
      <c r="D24" s="46" t="n">
        <v>0</v>
      </c>
      <c r="E24" s="124" t="n">
        <v>0</v>
      </c>
      <c r="F24" s="46" t="n">
        <v>0</v>
      </c>
      <c r="G24" s="46" t="n">
        <v>0</v>
      </c>
      <c r="H24" s="124" t="n">
        <v>0</v>
      </c>
      <c r="I24" s="124" t="n">
        <v>0</v>
      </c>
      <c r="J24" s="46" t="n">
        <v>0</v>
      </c>
      <c r="K24" s="124" t="n">
        <v>0</v>
      </c>
      <c r="L24" s="46" t="n">
        <v>0</v>
      </c>
      <c r="M24" s="46" t="n">
        <v>0</v>
      </c>
      <c r="N24" s="124" t="n">
        <v>0</v>
      </c>
      <c r="O24" s="124" t="n">
        <v>0</v>
      </c>
      <c r="P24" s="46" t="n">
        <v>0</v>
      </c>
      <c r="Q24" s="124" t="n">
        <v>0</v>
      </c>
      <c r="R24" s="46" t="n">
        <v>0</v>
      </c>
      <c r="S24" s="46" t="n">
        <v>0</v>
      </c>
      <c r="T24" s="124" t="n">
        <v>0</v>
      </c>
      <c r="U24" s="124" t="n">
        <v>0</v>
      </c>
      <c r="V24" s="46" t="n">
        <v>0</v>
      </c>
      <c r="W24" s="124" t="n">
        <v>0</v>
      </c>
      <c r="X24" s="46" t="n">
        <v>0</v>
      </c>
      <c r="Y24" s="46" t="n">
        <v>0</v>
      </c>
      <c r="Z24" s="46" t="n">
        <v>0</v>
      </c>
      <c r="AA24" s="124" t="n">
        <v>0</v>
      </c>
      <c r="AB24" s="124" t="n">
        <v>0</v>
      </c>
      <c r="AC24" s="46" t="n">
        <v>0</v>
      </c>
      <c r="AD24" s="124" t="n">
        <v>0</v>
      </c>
      <c r="AE24" s="46" t="n">
        <v>0</v>
      </c>
      <c r="AF24" s="46" t="n">
        <v>0</v>
      </c>
    </row>
    <row r="25" ht="20" customHeight="1" s="83">
      <c r="A25" s="41" t="inlineStr">
        <is>
          <t>美麗華門市</t>
        </is>
      </c>
      <c r="B25" s="123" t="n">
        <v>0</v>
      </c>
      <c r="C25" s="123" t="n">
        <v>0</v>
      </c>
      <c r="D25" s="44" t="n">
        <v>0</v>
      </c>
      <c r="E25" s="123" t="n">
        <v>0</v>
      </c>
      <c r="F25" s="44" t="n">
        <v>0</v>
      </c>
      <c r="G25" s="44" t="n">
        <v>0</v>
      </c>
      <c r="H25" s="123" t="n">
        <v>0</v>
      </c>
      <c r="I25" s="123" t="n">
        <v>0</v>
      </c>
      <c r="J25" s="44" t="n">
        <v>0</v>
      </c>
      <c r="K25" s="123" t="n">
        <v>0</v>
      </c>
      <c r="L25" s="44" t="n">
        <v>0</v>
      </c>
      <c r="M25" s="44" t="n">
        <v>0</v>
      </c>
      <c r="N25" s="123" t="n">
        <v>0</v>
      </c>
      <c r="O25" s="123" t="n">
        <v>0</v>
      </c>
      <c r="P25" s="44" t="n">
        <v>0</v>
      </c>
      <c r="Q25" s="123" t="n">
        <v>0</v>
      </c>
      <c r="R25" s="44" t="n">
        <v>0</v>
      </c>
      <c r="S25" s="44" t="n">
        <v>0</v>
      </c>
      <c r="T25" s="123" t="n">
        <v>0</v>
      </c>
      <c r="U25" s="123" t="n">
        <v>0</v>
      </c>
      <c r="V25" s="44" t="n">
        <v>0</v>
      </c>
      <c r="W25" s="123" t="n">
        <v>0</v>
      </c>
      <c r="X25" s="44" t="n">
        <v>0</v>
      </c>
      <c r="Y25" s="44" t="n">
        <v>0</v>
      </c>
      <c r="Z25" s="44" t="n">
        <v>0</v>
      </c>
      <c r="AA25" s="123" t="n">
        <v>0</v>
      </c>
      <c r="AB25" s="123" t="n">
        <v>0</v>
      </c>
      <c r="AC25" s="44" t="n">
        <v>0</v>
      </c>
      <c r="AD25" s="123" t="n">
        <v>0</v>
      </c>
      <c r="AE25" s="44" t="n">
        <v>0</v>
      </c>
      <c r="AF25" s="44" t="n">
        <v>0</v>
      </c>
    </row>
    <row r="26" ht="20" customHeight="1" s="83">
      <c r="A26" s="41" t="inlineStr">
        <is>
          <t>阿波羅門市</t>
        </is>
      </c>
      <c r="B26" s="124" t="n">
        <v>0</v>
      </c>
      <c r="C26" s="124" t="n">
        <v>0</v>
      </c>
      <c r="D26" s="46" t="n">
        <v>0</v>
      </c>
      <c r="E26" s="124" t="n">
        <v>0</v>
      </c>
      <c r="F26" s="46" t="n">
        <v>0</v>
      </c>
      <c r="G26" s="46" t="n">
        <v>0</v>
      </c>
      <c r="H26" s="124" t="n">
        <v>0</v>
      </c>
      <c r="I26" s="124" t="n">
        <v>0</v>
      </c>
      <c r="J26" s="46" t="n">
        <v>0</v>
      </c>
      <c r="K26" s="124" t="n">
        <v>0</v>
      </c>
      <c r="L26" s="46" t="n">
        <v>0</v>
      </c>
      <c r="M26" s="46" t="n">
        <v>0</v>
      </c>
      <c r="N26" s="124" t="n">
        <v>0</v>
      </c>
      <c r="O26" s="124" t="n">
        <v>0</v>
      </c>
      <c r="P26" s="46" t="n">
        <v>0</v>
      </c>
      <c r="Q26" s="124" t="n">
        <v>0</v>
      </c>
      <c r="R26" s="46" t="n">
        <v>0</v>
      </c>
      <c r="S26" s="46" t="n">
        <v>0</v>
      </c>
      <c r="T26" s="124" t="n">
        <v>0</v>
      </c>
      <c r="U26" s="124" t="n">
        <v>0</v>
      </c>
      <c r="V26" s="46" t="n">
        <v>0</v>
      </c>
      <c r="W26" s="124" t="n">
        <v>0</v>
      </c>
      <c r="X26" s="46" t="n">
        <v>0</v>
      </c>
      <c r="Y26" s="46" t="n">
        <v>0</v>
      </c>
      <c r="Z26" s="46" t="n">
        <v>0</v>
      </c>
      <c r="AA26" s="124" t="n">
        <v>0</v>
      </c>
      <c r="AB26" s="124" t="n">
        <v>0</v>
      </c>
      <c r="AC26" s="46" t="n">
        <v>0</v>
      </c>
      <c r="AD26" s="124" t="n">
        <v>0</v>
      </c>
      <c r="AE26" s="46" t="n">
        <v>0</v>
      </c>
      <c r="AF26" s="46" t="n">
        <v>0</v>
      </c>
    </row>
    <row r="27" ht="20" customHeight="1" s="83">
      <c r="A27" s="41" t="inlineStr">
        <is>
          <t>大葉高島屋門市</t>
        </is>
      </c>
      <c r="B27" s="123" t="n">
        <v>0</v>
      </c>
      <c r="C27" s="123" t="n">
        <v>0</v>
      </c>
      <c r="D27" s="44" t="n">
        <v>0</v>
      </c>
      <c r="E27" s="123" t="n">
        <v>0</v>
      </c>
      <c r="F27" s="44" t="n">
        <v>0</v>
      </c>
      <c r="G27" s="44" t="n">
        <v>0</v>
      </c>
      <c r="H27" s="123" t="n">
        <v>0</v>
      </c>
      <c r="I27" s="123" t="n">
        <v>0</v>
      </c>
      <c r="J27" s="44" t="n">
        <v>0</v>
      </c>
      <c r="K27" s="123" t="n">
        <v>0</v>
      </c>
      <c r="L27" s="44" t="n">
        <v>0</v>
      </c>
      <c r="M27" s="44" t="n">
        <v>0</v>
      </c>
      <c r="N27" s="123" t="n">
        <v>0</v>
      </c>
      <c r="O27" s="123" t="n">
        <v>0</v>
      </c>
      <c r="P27" s="44" t="n">
        <v>0</v>
      </c>
      <c r="Q27" s="123" t="n">
        <v>0</v>
      </c>
      <c r="R27" s="44" t="n">
        <v>0</v>
      </c>
      <c r="S27" s="44" t="n">
        <v>0</v>
      </c>
      <c r="T27" s="123" t="n">
        <v>0</v>
      </c>
      <c r="U27" s="123" t="n">
        <v>0</v>
      </c>
      <c r="V27" s="44" t="n">
        <v>0</v>
      </c>
      <c r="W27" s="123" t="n">
        <v>0</v>
      </c>
      <c r="X27" s="44" t="n">
        <v>0</v>
      </c>
      <c r="Y27" s="44" t="n">
        <v>0</v>
      </c>
      <c r="Z27" s="44" t="n">
        <v>0</v>
      </c>
      <c r="AA27" s="123" t="n">
        <v>0</v>
      </c>
      <c r="AB27" s="123" t="n">
        <v>0</v>
      </c>
      <c r="AC27" s="44" t="n">
        <v>0</v>
      </c>
      <c r="AD27" s="123" t="n">
        <v>0</v>
      </c>
      <c r="AE27" s="44" t="n">
        <v>0</v>
      </c>
      <c r="AF27" s="44" t="n">
        <v>0</v>
      </c>
    </row>
    <row r="28" ht="20" customHeight="1" s="83">
      <c r="A28" s="41" t="inlineStr">
        <is>
          <t>羅東門市</t>
        </is>
      </c>
      <c r="B28" s="124" t="n">
        <v>0</v>
      </c>
      <c r="C28" s="124" t="n">
        <v>0</v>
      </c>
      <c r="D28" s="46" t="n">
        <v>0</v>
      </c>
      <c r="E28" s="124" t="n">
        <v>0</v>
      </c>
      <c r="F28" s="46" t="n">
        <v>0</v>
      </c>
      <c r="G28" s="46" t="n">
        <v>0</v>
      </c>
      <c r="H28" s="124" t="n">
        <v>0</v>
      </c>
      <c r="I28" s="124" t="n">
        <v>0</v>
      </c>
      <c r="J28" s="46" t="n">
        <v>0</v>
      </c>
      <c r="K28" s="124" t="n">
        <v>0</v>
      </c>
      <c r="L28" s="46" t="n">
        <v>0</v>
      </c>
      <c r="M28" s="46" t="n">
        <v>0</v>
      </c>
      <c r="N28" s="124" t="n">
        <v>0</v>
      </c>
      <c r="O28" s="124" t="n">
        <v>0</v>
      </c>
      <c r="P28" s="46" t="n">
        <v>0</v>
      </c>
      <c r="Q28" s="124" t="n">
        <v>0</v>
      </c>
      <c r="R28" s="46" t="n">
        <v>0</v>
      </c>
      <c r="S28" s="46" t="n">
        <v>0</v>
      </c>
      <c r="T28" s="124" t="n">
        <v>0</v>
      </c>
      <c r="U28" s="124" t="n">
        <v>0</v>
      </c>
      <c r="V28" s="46" t="n">
        <v>0</v>
      </c>
      <c r="W28" s="124" t="n">
        <v>0</v>
      </c>
      <c r="X28" s="46" t="n">
        <v>0</v>
      </c>
      <c r="Y28" s="46" t="n">
        <v>0</v>
      </c>
      <c r="Z28" s="46" t="n">
        <v>0</v>
      </c>
      <c r="AA28" s="124" t="n">
        <v>0</v>
      </c>
      <c r="AB28" s="124" t="n">
        <v>0</v>
      </c>
      <c r="AC28" s="46" t="n">
        <v>0</v>
      </c>
      <c r="AD28" s="124" t="n">
        <v>0</v>
      </c>
      <c r="AE28" s="46" t="n">
        <v>0</v>
      </c>
      <c r="AF28" s="46" t="n">
        <v>0</v>
      </c>
    </row>
    <row r="29" ht="20" customHeight="1" s="83">
      <c r="A29" s="47" t="inlineStr">
        <is>
          <t>Total</t>
        </is>
      </c>
      <c r="B29" s="125" t="n">
        <v>0</v>
      </c>
      <c r="C29" s="125" t="n">
        <v>0</v>
      </c>
      <c r="D29" s="49" t="n">
        <v>0</v>
      </c>
      <c r="E29" s="125" t="n">
        <v>0</v>
      </c>
      <c r="F29" s="49" t="n">
        <v>0</v>
      </c>
      <c r="G29" s="49" t="n">
        <v>0</v>
      </c>
      <c r="H29" s="125" t="n">
        <v>0</v>
      </c>
      <c r="I29" s="125" t="n">
        <v>0</v>
      </c>
      <c r="J29" s="49" t="n">
        <v>0</v>
      </c>
      <c r="K29" s="125" t="n">
        <v>0</v>
      </c>
      <c r="L29" s="49" t="n">
        <v>0</v>
      </c>
      <c r="M29" s="49" t="n">
        <v>0</v>
      </c>
      <c r="N29" s="125" t="n">
        <v>0</v>
      </c>
      <c r="O29" s="125" t="n">
        <v>0</v>
      </c>
      <c r="P29" s="49" t="n">
        <v>0</v>
      </c>
      <c r="Q29" s="125" t="n">
        <v>0</v>
      </c>
      <c r="R29" s="49" t="n">
        <v>0</v>
      </c>
      <c r="S29" s="49" t="n">
        <v>0</v>
      </c>
      <c r="T29" s="125" t="n">
        <v>0</v>
      </c>
      <c r="U29" s="125" t="n">
        <v>0</v>
      </c>
      <c r="V29" s="49" t="n">
        <v>0</v>
      </c>
      <c r="W29" s="125" t="n">
        <v>0</v>
      </c>
      <c r="X29" s="49" t="n">
        <v>0</v>
      </c>
      <c r="Y29" s="49" t="n">
        <v>0</v>
      </c>
      <c r="Z29" s="49" t="n">
        <v>0</v>
      </c>
      <c r="AA29" s="125" t="n">
        <v>0</v>
      </c>
      <c r="AB29" s="125" t="n">
        <v>0</v>
      </c>
      <c r="AC29" s="49" t="n">
        <v>0</v>
      </c>
      <c r="AD29" s="125" t="n">
        <v>0</v>
      </c>
      <c r="AE29" s="49" t="n">
        <v>0</v>
      </c>
      <c r="AF29" s="49" t="n">
        <v>0</v>
      </c>
    </row>
    <row r="31" ht="42" customHeight="1" s="83">
      <c r="A31" s="39" t="inlineStr">
        <is>
          <t>2025
01/01~04/18</t>
        </is>
      </c>
      <c r="B31" s="86" t="inlineStr">
        <is>
          <t>CPU</t>
        </is>
      </c>
      <c r="C31" s="86" t="inlineStr">
        <is>
          <t>Mac ACPP+</t>
        </is>
      </c>
      <c r="D31" s="86" t="inlineStr">
        <is>
          <t>ACPP+搭售率</t>
        </is>
      </c>
      <c r="E31" s="86" t="inlineStr">
        <is>
          <t>Mac SACare</t>
        </is>
      </c>
      <c r="F31" s="86" t="inlineStr">
        <is>
          <t>SACare搭售率</t>
        </is>
      </c>
      <c r="G31" s="86" t="inlineStr">
        <is>
          <t>合計搭售率</t>
        </is>
      </c>
      <c r="H31" s="86" t="inlineStr">
        <is>
          <t>Watch</t>
        </is>
      </c>
      <c r="I31" s="86" t="inlineStr">
        <is>
          <t>Watch ACPP+</t>
        </is>
      </c>
      <c r="J31" s="86" t="inlineStr">
        <is>
          <t>ACPP+搭售率</t>
        </is>
      </c>
      <c r="K31" s="86" t="inlineStr">
        <is>
          <t>Watch SACare</t>
        </is>
      </c>
      <c r="L31" s="86" t="inlineStr">
        <is>
          <t>SACare搭售率</t>
        </is>
      </c>
      <c r="M31" s="86" t="inlineStr">
        <is>
          <t>合計搭售率</t>
        </is>
      </c>
      <c r="N31" s="86" t="inlineStr">
        <is>
          <t>iPad</t>
        </is>
      </c>
      <c r="O31" s="86" t="inlineStr">
        <is>
          <t>iPad ACPP+</t>
        </is>
      </c>
      <c r="P31" s="86" t="inlineStr">
        <is>
          <t>ACPP+搭售率</t>
        </is>
      </c>
      <c r="Q31" s="86" t="inlineStr">
        <is>
          <t>iPad SACare</t>
        </is>
      </c>
      <c r="R31" s="86" t="inlineStr">
        <is>
          <t>SACare搭售率</t>
        </is>
      </c>
      <c r="S31" s="86" t="inlineStr">
        <is>
          <t>合計搭售率</t>
        </is>
      </c>
      <c r="T31" s="86" t="inlineStr">
        <is>
          <t>iPhone</t>
        </is>
      </c>
      <c r="U31" s="86" t="inlineStr">
        <is>
          <t>iPhone ACPP+</t>
        </is>
      </c>
      <c r="V31" s="86" t="inlineStr">
        <is>
          <t>ACPP+搭售率</t>
        </is>
      </c>
      <c r="W31" s="86" t="inlineStr">
        <is>
          <t>iPhone SACare</t>
        </is>
      </c>
      <c r="X31" s="86" t="inlineStr">
        <is>
          <t>SACare搭售率</t>
        </is>
      </c>
      <c r="Y31" s="86" t="inlineStr">
        <is>
          <t>合計搭售率</t>
        </is>
      </c>
      <c r="Z31" s="86" t="inlineStr">
        <is>
          <t>iOS搭售率</t>
        </is>
      </c>
      <c r="AA31" s="86" t="inlineStr">
        <is>
          <t>Airpods</t>
        </is>
      </c>
      <c r="AB31" s="86" t="inlineStr">
        <is>
          <t>ACPP+</t>
        </is>
      </c>
      <c r="AC31" s="86" t="inlineStr">
        <is>
          <t>ACPP+搭售率</t>
        </is>
      </c>
      <c r="AD31" s="86" t="inlineStr">
        <is>
          <t>SACare</t>
        </is>
      </c>
      <c r="AE31" s="86" t="inlineStr">
        <is>
          <t>SACare搭售率</t>
        </is>
      </c>
      <c r="AF31" s="86" t="inlineStr">
        <is>
          <t>合計搭售率</t>
        </is>
      </c>
    </row>
    <row r="32" ht="20" customHeight="1" s="83">
      <c r="A32" s="41" t="inlineStr">
        <is>
          <t>士林門市</t>
        </is>
      </c>
      <c r="B32" s="123" t="n">
        <v>0</v>
      </c>
      <c r="C32" s="123" t="n">
        <v>0</v>
      </c>
      <c r="D32" s="44" t="n">
        <v>0</v>
      </c>
      <c r="E32" s="123" t="n">
        <v>0</v>
      </c>
      <c r="F32" s="44" t="n">
        <v>0</v>
      </c>
      <c r="G32" s="44" t="n">
        <v>0</v>
      </c>
      <c r="H32" s="123" t="n">
        <v>0</v>
      </c>
      <c r="I32" s="123" t="n">
        <v>0</v>
      </c>
      <c r="J32" s="44" t="n">
        <v>0</v>
      </c>
      <c r="K32" s="123" t="n">
        <v>0</v>
      </c>
      <c r="L32" s="44" t="n">
        <v>0</v>
      </c>
      <c r="M32" s="44" t="n">
        <v>0</v>
      </c>
      <c r="N32" s="123" t="n">
        <v>0</v>
      </c>
      <c r="O32" s="123" t="n">
        <v>0</v>
      </c>
      <c r="P32" s="44" t="n">
        <v>0</v>
      </c>
      <c r="Q32" s="123" t="n">
        <v>0</v>
      </c>
      <c r="R32" s="44" t="n">
        <v>0</v>
      </c>
      <c r="S32" s="44" t="n">
        <v>0</v>
      </c>
      <c r="T32" s="123" t="n">
        <v>0</v>
      </c>
      <c r="U32" s="123" t="n">
        <v>0</v>
      </c>
      <c r="V32" s="44" t="n">
        <v>0</v>
      </c>
      <c r="W32" s="123" t="n">
        <v>0</v>
      </c>
      <c r="X32" s="44" t="n">
        <v>0</v>
      </c>
      <c r="Y32" s="44" t="n">
        <v>0</v>
      </c>
      <c r="Z32" s="44" t="n">
        <v>0</v>
      </c>
      <c r="AA32" s="123" t="n">
        <v>0</v>
      </c>
      <c r="AB32" s="123" t="n">
        <v>0</v>
      </c>
      <c r="AC32" s="44" t="n">
        <v>0</v>
      </c>
      <c r="AD32" s="123" t="n">
        <v>0</v>
      </c>
      <c r="AE32" s="44" t="n">
        <v>0</v>
      </c>
      <c r="AF32" s="44" t="n">
        <v>0</v>
      </c>
    </row>
    <row r="33" ht="20" customHeight="1" s="83">
      <c r="A33" s="41" t="inlineStr">
        <is>
          <t>微風門市</t>
        </is>
      </c>
      <c r="B33" s="124" t="n">
        <v>0</v>
      </c>
      <c r="C33" s="124" t="n">
        <v>0</v>
      </c>
      <c r="D33" s="46" t="n">
        <v>0</v>
      </c>
      <c r="E33" s="124" t="n">
        <v>0</v>
      </c>
      <c r="F33" s="46" t="n">
        <v>0</v>
      </c>
      <c r="G33" s="46" t="n">
        <v>0</v>
      </c>
      <c r="H33" s="124" t="n">
        <v>0</v>
      </c>
      <c r="I33" s="124" t="n">
        <v>0</v>
      </c>
      <c r="J33" s="46" t="n">
        <v>0</v>
      </c>
      <c r="K33" s="124" t="n">
        <v>0</v>
      </c>
      <c r="L33" s="46" t="n">
        <v>0</v>
      </c>
      <c r="M33" s="46" t="n">
        <v>0</v>
      </c>
      <c r="N33" s="124" t="n">
        <v>0</v>
      </c>
      <c r="O33" s="124" t="n">
        <v>0</v>
      </c>
      <c r="P33" s="46" t="n">
        <v>0</v>
      </c>
      <c r="Q33" s="124" t="n">
        <v>0</v>
      </c>
      <c r="R33" s="46" t="n">
        <v>0</v>
      </c>
      <c r="S33" s="46" t="n">
        <v>0</v>
      </c>
      <c r="T33" s="124" t="n">
        <v>0</v>
      </c>
      <c r="U33" s="124" t="n">
        <v>0</v>
      </c>
      <c r="V33" s="46" t="n">
        <v>0</v>
      </c>
      <c r="W33" s="124" t="n">
        <v>0</v>
      </c>
      <c r="X33" s="46" t="n">
        <v>0</v>
      </c>
      <c r="Y33" s="46" t="n">
        <v>0</v>
      </c>
      <c r="Z33" s="46" t="n">
        <v>0</v>
      </c>
      <c r="AA33" s="124" t="n">
        <v>0</v>
      </c>
      <c r="AB33" s="124" t="n">
        <v>0</v>
      </c>
      <c r="AC33" s="46" t="n">
        <v>0</v>
      </c>
      <c r="AD33" s="124" t="n">
        <v>0</v>
      </c>
      <c r="AE33" s="46" t="n">
        <v>0</v>
      </c>
      <c r="AF33" s="46" t="n">
        <v>0</v>
      </c>
    </row>
    <row r="34" ht="20" customHeight="1" s="83">
      <c r="A34" s="41" t="inlineStr">
        <is>
          <t>美麗華門市</t>
        </is>
      </c>
      <c r="B34" s="123" t="n">
        <v>0</v>
      </c>
      <c r="C34" s="123" t="n">
        <v>0</v>
      </c>
      <c r="D34" s="44" t="n">
        <v>0</v>
      </c>
      <c r="E34" s="123" t="n">
        <v>0</v>
      </c>
      <c r="F34" s="44" t="n">
        <v>0</v>
      </c>
      <c r="G34" s="44" t="n">
        <v>0</v>
      </c>
      <c r="H34" s="123" t="n">
        <v>0</v>
      </c>
      <c r="I34" s="123" t="n">
        <v>0</v>
      </c>
      <c r="J34" s="44" t="n">
        <v>0</v>
      </c>
      <c r="K34" s="123" t="n">
        <v>0</v>
      </c>
      <c r="L34" s="44" t="n">
        <v>0</v>
      </c>
      <c r="M34" s="44" t="n">
        <v>0</v>
      </c>
      <c r="N34" s="123" t="n">
        <v>0</v>
      </c>
      <c r="O34" s="123" t="n">
        <v>0</v>
      </c>
      <c r="P34" s="44" t="n">
        <v>0</v>
      </c>
      <c r="Q34" s="123" t="n">
        <v>0</v>
      </c>
      <c r="R34" s="44" t="n">
        <v>0</v>
      </c>
      <c r="S34" s="44" t="n">
        <v>0</v>
      </c>
      <c r="T34" s="123" t="n">
        <v>0</v>
      </c>
      <c r="U34" s="123" t="n">
        <v>0</v>
      </c>
      <c r="V34" s="44" t="n">
        <v>0</v>
      </c>
      <c r="W34" s="123" t="n">
        <v>0</v>
      </c>
      <c r="X34" s="44" t="n">
        <v>0</v>
      </c>
      <c r="Y34" s="44" t="n">
        <v>0</v>
      </c>
      <c r="Z34" s="44" t="n">
        <v>0</v>
      </c>
      <c r="AA34" s="123" t="n">
        <v>0</v>
      </c>
      <c r="AB34" s="123" t="n">
        <v>0</v>
      </c>
      <c r="AC34" s="44" t="n">
        <v>0</v>
      </c>
      <c r="AD34" s="123" t="n">
        <v>0</v>
      </c>
      <c r="AE34" s="44" t="n">
        <v>0</v>
      </c>
      <c r="AF34" s="44" t="n">
        <v>0</v>
      </c>
    </row>
    <row r="35" ht="20" customHeight="1" s="83">
      <c r="A35" s="41" t="inlineStr">
        <is>
          <t>阿波羅門市</t>
        </is>
      </c>
      <c r="B35" s="124" t="n">
        <v>0</v>
      </c>
      <c r="C35" s="124" t="n">
        <v>0</v>
      </c>
      <c r="D35" s="46" t="n">
        <v>0</v>
      </c>
      <c r="E35" s="124" t="n">
        <v>0</v>
      </c>
      <c r="F35" s="46" t="n">
        <v>0</v>
      </c>
      <c r="G35" s="46" t="n">
        <v>0</v>
      </c>
      <c r="H35" s="124" t="n">
        <v>0</v>
      </c>
      <c r="I35" s="124" t="n">
        <v>0</v>
      </c>
      <c r="J35" s="46" t="n">
        <v>0</v>
      </c>
      <c r="K35" s="124" t="n">
        <v>0</v>
      </c>
      <c r="L35" s="46" t="n">
        <v>0</v>
      </c>
      <c r="M35" s="46" t="n">
        <v>0</v>
      </c>
      <c r="N35" s="124" t="n">
        <v>0</v>
      </c>
      <c r="O35" s="124" t="n">
        <v>0</v>
      </c>
      <c r="P35" s="46" t="n">
        <v>0</v>
      </c>
      <c r="Q35" s="124" t="n">
        <v>0</v>
      </c>
      <c r="R35" s="46" t="n">
        <v>0</v>
      </c>
      <c r="S35" s="46" t="n">
        <v>0</v>
      </c>
      <c r="T35" s="124" t="n">
        <v>0</v>
      </c>
      <c r="U35" s="124" t="n">
        <v>0</v>
      </c>
      <c r="V35" s="46" t="n">
        <v>0</v>
      </c>
      <c r="W35" s="124" t="n">
        <v>0</v>
      </c>
      <c r="X35" s="46" t="n">
        <v>0</v>
      </c>
      <c r="Y35" s="46" t="n">
        <v>0</v>
      </c>
      <c r="Z35" s="46" t="n">
        <v>0</v>
      </c>
      <c r="AA35" s="124" t="n">
        <v>0</v>
      </c>
      <c r="AB35" s="124" t="n">
        <v>0</v>
      </c>
      <c r="AC35" s="46" t="n">
        <v>0</v>
      </c>
      <c r="AD35" s="124" t="n">
        <v>0</v>
      </c>
      <c r="AE35" s="46" t="n">
        <v>0</v>
      </c>
      <c r="AF35" s="46" t="n">
        <v>0</v>
      </c>
    </row>
    <row r="36" ht="20" customHeight="1" s="83">
      <c r="A36" s="41" t="inlineStr">
        <is>
          <t>大葉高島屋門市</t>
        </is>
      </c>
      <c r="B36" s="123" t="n">
        <v>0</v>
      </c>
      <c r="C36" s="123" t="n">
        <v>0</v>
      </c>
      <c r="D36" s="44" t="n">
        <v>0</v>
      </c>
      <c r="E36" s="123" t="n">
        <v>0</v>
      </c>
      <c r="F36" s="44" t="n">
        <v>0</v>
      </c>
      <c r="G36" s="44" t="n">
        <v>0</v>
      </c>
      <c r="H36" s="123" t="n">
        <v>0</v>
      </c>
      <c r="I36" s="123" t="n">
        <v>0</v>
      </c>
      <c r="J36" s="44" t="n">
        <v>0</v>
      </c>
      <c r="K36" s="123" t="n">
        <v>0</v>
      </c>
      <c r="L36" s="44" t="n">
        <v>0</v>
      </c>
      <c r="M36" s="44" t="n">
        <v>0</v>
      </c>
      <c r="N36" s="123" t="n">
        <v>0</v>
      </c>
      <c r="O36" s="123" t="n">
        <v>0</v>
      </c>
      <c r="P36" s="44" t="n">
        <v>0</v>
      </c>
      <c r="Q36" s="123" t="n">
        <v>0</v>
      </c>
      <c r="R36" s="44" t="n">
        <v>0</v>
      </c>
      <c r="S36" s="44" t="n">
        <v>0</v>
      </c>
      <c r="T36" s="123" t="n">
        <v>0</v>
      </c>
      <c r="U36" s="123" t="n">
        <v>0</v>
      </c>
      <c r="V36" s="44" t="n">
        <v>0</v>
      </c>
      <c r="W36" s="123" t="n">
        <v>0</v>
      </c>
      <c r="X36" s="44" t="n">
        <v>0</v>
      </c>
      <c r="Y36" s="44" t="n">
        <v>0</v>
      </c>
      <c r="Z36" s="44" t="n">
        <v>0</v>
      </c>
      <c r="AA36" s="123" t="n">
        <v>0</v>
      </c>
      <c r="AB36" s="123" t="n">
        <v>0</v>
      </c>
      <c r="AC36" s="44" t="n">
        <v>0</v>
      </c>
      <c r="AD36" s="123" t="n">
        <v>0</v>
      </c>
      <c r="AE36" s="44" t="n">
        <v>0</v>
      </c>
      <c r="AF36" s="44" t="n">
        <v>0</v>
      </c>
    </row>
    <row r="37" ht="20" customHeight="1" s="83">
      <c r="A37" s="41" t="inlineStr">
        <is>
          <t>羅東門市</t>
        </is>
      </c>
      <c r="B37" s="124" t="n">
        <v>0</v>
      </c>
      <c r="C37" s="124" t="n">
        <v>0</v>
      </c>
      <c r="D37" s="46" t="n">
        <v>0</v>
      </c>
      <c r="E37" s="124" t="n">
        <v>0</v>
      </c>
      <c r="F37" s="46" t="n">
        <v>0</v>
      </c>
      <c r="G37" s="46" t="n">
        <v>0</v>
      </c>
      <c r="H37" s="124" t="n">
        <v>0</v>
      </c>
      <c r="I37" s="124" t="n">
        <v>0</v>
      </c>
      <c r="J37" s="46" t="n">
        <v>0</v>
      </c>
      <c r="K37" s="124" t="n">
        <v>0</v>
      </c>
      <c r="L37" s="46" t="n">
        <v>0</v>
      </c>
      <c r="M37" s="46" t="n">
        <v>0</v>
      </c>
      <c r="N37" s="124" t="n">
        <v>0</v>
      </c>
      <c r="O37" s="124" t="n">
        <v>0</v>
      </c>
      <c r="P37" s="46" t="n">
        <v>0</v>
      </c>
      <c r="Q37" s="124" t="n">
        <v>0</v>
      </c>
      <c r="R37" s="46" t="n">
        <v>0</v>
      </c>
      <c r="S37" s="46" t="n">
        <v>0</v>
      </c>
      <c r="T37" s="124" t="n">
        <v>0</v>
      </c>
      <c r="U37" s="124" t="n">
        <v>0</v>
      </c>
      <c r="V37" s="46" t="n">
        <v>0</v>
      </c>
      <c r="W37" s="124" t="n">
        <v>0</v>
      </c>
      <c r="X37" s="46" t="n">
        <v>0</v>
      </c>
      <c r="Y37" s="46" t="n">
        <v>0</v>
      </c>
      <c r="Z37" s="46" t="n">
        <v>0</v>
      </c>
      <c r="AA37" s="124" t="n">
        <v>0</v>
      </c>
      <c r="AB37" s="124" t="n">
        <v>0</v>
      </c>
      <c r="AC37" s="46" t="n">
        <v>0</v>
      </c>
      <c r="AD37" s="124" t="n">
        <v>0</v>
      </c>
      <c r="AE37" s="46" t="n">
        <v>0</v>
      </c>
      <c r="AF37" s="46" t="n">
        <v>0</v>
      </c>
    </row>
    <row r="38" ht="20" customHeight="1" s="83">
      <c r="A38" s="47" t="inlineStr">
        <is>
          <t>Total</t>
        </is>
      </c>
      <c r="B38" s="125" t="n">
        <v>0</v>
      </c>
      <c r="C38" s="125" t="n">
        <v>0</v>
      </c>
      <c r="D38" s="49" t="n">
        <v>0</v>
      </c>
      <c r="E38" s="125" t="n">
        <v>0</v>
      </c>
      <c r="F38" s="49" t="n">
        <v>0</v>
      </c>
      <c r="G38" s="49" t="n">
        <v>0</v>
      </c>
      <c r="H38" s="125" t="n">
        <v>0</v>
      </c>
      <c r="I38" s="125" t="n">
        <v>0</v>
      </c>
      <c r="J38" s="49" t="n">
        <v>0</v>
      </c>
      <c r="K38" s="125" t="n">
        <v>0</v>
      </c>
      <c r="L38" s="49" t="n">
        <v>0</v>
      </c>
      <c r="M38" s="49" t="n">
        <v>0</v>
      </c>
      <c r="N38" s="125" t="n">
        <v>0</v>
      </c>
      <c r="O38" s="125" t="n">
        <v>0</v>
      </c>
      <c r="P38" s="49" t="n">
        <v>0</v>
      </c>
      <c r="Q38" s="125" t="n">
        <v>0</v>
      </c>
      <c r="R38" s="49" t="n">
        <v>0</v>
      </c>
      <c r="S38" s="49" t="n">
        <v>0</v>
      </c>
      <c r="T38" s="125" t="n">
        <v>0</v>
      </c>
      <c r="U38" s="125" t="n">
        <v>0</v>
      </c>
      <c r="V38" s="49" t="n">
        <v>0</v>
      </c>
      <c r="W38" s="125" t="n">
        <v>0</v>
      </c>
      <c r="X38" s="49" t="n">
        <v>0</v>
      </c>
      <c r="Y38" s="49" t="n">
        <v>0</v>
      </c>
      <c r="Z38" s="49" t="n">
        <v>0</v>
      </c>
      <c r="AA38" s="125" t="n">
        <v>0</v>
      </c>
      <c r="AB38" s="125" t="n">
        <v>0</v>
      </c>
      <c r="AC38" s="49" t="n">
        <v>0</v>
      </c>
      <c r="AD38" s="125" t="n">
        <v>0</v>
      </c>
      <c r="AE38" s="49" t="n">
        <v>0</v>
      </c>
      <c r="AF38" s="49" t="n">
        <v>0</v>
      </c>
    </row>
  </sheetData>
  <mergeCells count="1">
    <mergeCell ref="Q13:Q20"/>
  </mergeCells>
  <conditionalFormatting sqref="D4:D10">
    <cfRule type="cellIs" priority="79" operator="greaterThan" dxfId="3">
      <formula>0</formula>
    </cfRule>
    <cfRule type="cellIs" priority="80" operator="lessThan" dxfId="2">
      <formula>0</formula>
    </cfRule>
    <cfRule type="cellIs" priority="89" operator="greaterThan" dxfId="1">
      <formula>0</formula>
    </cfRule>
    <cfRule type="cellIs" priority="90" operator="lessThan" dxfId="0">
      <formula>0</formula>
    </cfRule>
  </conditionalFormatting>
  <conditionalFormatting sqref="D12:D19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D14:D20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G4:G10">
    <cfRule type="cellIs" priority="81" operator="greaterThan" dxfId="3">
      <formula>0</formula>
    </cfRule>
    <cfRule type="cellIs" priority="82" operator="lessThan" dxfId="2">
      <formula>0</formula>
    </cfRule>
    <cfRule type="cellIs" priority="91" operator="greaterThan" dxfId="1">
      <formula>0</formula>
    </cfRule>
    <cfRule type="cellIs" priority="92" operator="lessThan" dxfId="0">
      <formula>0</formula>
    </cfRule>
  </conditionalFormatting>
  <conditionalFormatting sqref="G12:G19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G14:G20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J4:J10 M4:M10">
    <cfRule type="cellIs" priority="83" operator="greaterThan" dxfId="3">
      <formula>0</formula>
    </cfRule>
    <cfRule type="cellIs" priority="84" operator="lessThan" dxfId="2">
      <formula>0</formula>
    </cfRule>
    <cfRule type="cellIs" priority="93" operator="greaterThan" dxfId="1">
      <formula>0</formula>
    </cfRule>
    <cfRule type="cellIs" priority="94" operator="lessThan" dxfId="0">
      <formula>0</formula>
    </cfRule>
  </conditionalFormatting>
  <conditionalFormatting sqref="J12:J19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J14:J20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M12:M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M14:M20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P4:P10">
    <cfRule type="cellIs" priority="85" operator="greaterThan" dxfId="3">
      <formula>0</formula>
    </cfRule>
    <cfRule type="cellIs" priority="86" operator="lessThan" dxfId="2">
      <formula>0</formula>
    </cfRule>
    <cfRule type="cellIs" priority="95" operator="greaterThan" dxfId="1">
      <formula>0</formula>
    </cfRule>
    <cfRule type="cellIs" priority="96" operator="lessThan" dxfId="0">
      <formula>0</formula>
    </cfRule>
  </conditionalFormatting>
  <conditionalFormatting sqref="P14:P20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P12:Q12 P13:P19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S4:S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S4:S10">
    <cfRule type="cellIs" priority="97" operator="greaterThan" dxfId="1">
      <formula>0</formula>
    </cfRule>
    <cfRule type="cellIs" priority="98" operator="lessThan" dxfId="0">
      <formula>0</formula>
    </cfRule>
  </conditionalFormatting>
  <conditionalFormatting sqref="S14:S20">
    <cfRule type="cellIs" priority="37" operator="greaterThan" dxfId="1">
      <formula>0</formula>
    </cfRule>
    <cfRule type="cellIs" priority="38" operator="lessThan" dxfId="0">
      <formula>0</formula>
    </cfRule>
  </conditionalFormatting>
  <conditionalFormatting sqref="V14:V2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Y13:Y19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Y14:Y20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AA19">
    <cfRule type="cellIs" priority="15" operator="greaterThan" dxfId="1">
      <formula>0</formula>
    </cfRule>
    <cfRule type="cellIs" priority="16" operator="lessThan" dxfId="0">
      <formula>0</formula>
    </cfRule>
  </conditionalFormatting>
  <conditionalFormatting sqref="AC13:AC1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AC14:AC20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AB4:AB9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AB4:AB10">
    <cfRule type="cellIs" priority="77" operator="greaterThan" dxfId="1">
      <formula>0</formula>
    </cfRule>
    <cfRule type="cellIs" priority="78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2026-04-24T11:40:48Z</dcterms:created>
  <dcterms:modified xmlns:dcterms="http://purl.org/dc/terms/" xmlns:xsi="http://www.w3.org/2001/XMLSchema-instance" xsi:type="dcterms:W3CDTF">2026-10-04T07:15:26Z</dcterms:modified>
  <cp:lastModifiedBy>SA</cp:lastModifiedBy>
</cp:coreProperties>
</file>